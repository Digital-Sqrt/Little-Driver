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00000000-0000-0000-0000-000000000000}"/>
  <workbookPr date1904="1" showInkAnnotation="0" codeName="ThisWorkbook" hidePivotFieldList="1" autoCompressPictures="0"/>
  <bookViews>
    <workbookView xWindow="1180" yWindow="420" windowWidth="26400" windowHeight="16780" tabRatio="500" firstSheet="1" activeTab="6"/>
  </bookViews>
  <sheets>
    <sheet name="Little Driver BOM 1_7" sheetId="1" r:id="rId1"/>
    <sheet name="Wiring Kit 1_1" sheetId="7" r:id="rId2"/>
    <sheet name="PCB Costs" sheetId="6" r:id="rId3"/>
    <sheet name="Packageing" sheetId="4" r:id="rId4"/>
    <sheet name="Start Up Costs" sheetId="5" r:id="rId5"/>
    <sheet name="Price Data" sheetId="2" r:id="rId6"/>
    <sheet name="Sheet1" sheetId="8" r:id="rId7"/>
  </sheets>
  <definedNames>
    <definedName name="Boxes">'Little Driver BOM 1_7'!$B$25</definedName>
    <definedName name="Development">'Little Driver BOM 1_7'!$B$26</definedName>
    <definedName name="mfr_num">'Little Driver BOM 1_7'!$H$8</definedName>
    <definedName name="NRE">'Little Driver BOM 1_7'!$B$23</definedName>
    <definedName name="NumToBuild">'Little Driver BOM 1_7'!$F$3</definedName>
    <definedName name="PCB">'Little Driver BOM 1_7'!#REF!</definedName>
    <definedName name="Price_Per">'Little Driver BOM 1_7'!$E$8</definedName>
    <definedName name="PriceData">'Price Data'!$A$1</definedName>
    <definedName name="Quanity">'Little Driver BOM 1_7'!$D$8</definedName>
    <definedName name="Start_up">'Little Driver BOM 1_7'!$B$24</definedName>
    <definedName name="Supplyer">'Little Driver BOM 1_7'!$J$8</definedName>
    <definedName name="Supplyer_Link">'Little Driver BOM 1_7'!$K$8</definedName>
    <definedName name="Supplyer_Part_Num">'Little Driver BOM 1_7'!$G$8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7" i="8" l="1"/>
  <c r="K2" i="8"/>
  <c r="K3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23" i="8"/>
  <c r="B26" i="8"/>
  <c r="E18" i="7"/>
  <c r="D12" i="7"/>
  <c r="F12" i="7"/>
  <c r="D9" i="7"/>
  <c r="F9" i="7"/>
  <c r="D10" i="7"/>
  <c r="F10" i="7"/>
  <c r="D11" i="7"/>
  <c r="F11" i="7"/>
  <c r="D13" i="7"/>
  <c r="F13" i="7"/>
  <c r="D14" i="7"/>
  <c r="F14" i="7"/>
  <c r="D15" i="7"/>
  <c r="F15" i="7"/>
  <c r="D16" i="7"/>
  <c r="F16" i="7"/>
  <c r="F19" i="7"/>
  <c r="F18" i="7"/>
  <c r="F4" i="7"/>
  <c r="D26" i="7"/>
  <c r="D27" i="7"/>
  <c r="D25" i="7"/>
  <c r="E17" i="7"/>
  <c r="F17" i="7"/>
  <c r="F5" i="7"/>
  <c r="D9" i="5"/>
  <c r="B24" i="1"/>
  <c r="D9" i="1"/>
  <c r="F9" i="1"/>
  <c r="D10" i="1"/>
  <c r="F10" i="1"/>
  <c r="D11" i="1"/>
  <c r="F11" i="1"/>
  <c r="D12" i="1"/>
  <c r="F12" i="1"/>
  <c r="D13" i="1"/>
  <c r="F13" i="1"/>
  <c r="D14" i="1"/>
  <c r="F14" i="1"/>
  <c r="D15" i="1"/>
  <c r="F15" i="1"/>
  <c r="D16" i="1"/>
  <c r="F16" i="1"/>
  <c r="D17" i="1"/>
  <c r="F17" i="1"/>
  <c r="D18" i="1"/>
  <c r="F18" i="1"/>
  <c r="D19" i="1"/>
  <c r="F19" i="1"/>
  <c r="D20" i="1"/>
  <c r="F20" i="1"/>
  <c r="B25" i="1"/>
  <c r="F4" i="1"/>
  <c r="F5" i="1"/>
  <c r="B31" i="1"/>
  <c r="B32" i="1"/>
  <c r="D5" i="2"/>
  <c r="D7" i="2"/>
  <c r="D9" i="2"/>
  <c r="D10" i="2"/>
  <c r="D13" i="2"/>
  <c r="D15" i="2"/>
  <c r="D17" i="2"/>
  <c r="D19" i="2"/>
  <c r="D3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208" i="2"/>
  <c r="G209" i="2"/>
  <c r="G210" i="2"/>
  <c r="G211" i="2"/>
  <c r="G212" i="2"/>
  <c r="G2" i="2"/>
  <c r="G4" i="2"/>
  <c r="G6" i="2"/>
  <c r="G8" i="2"/>
  <c r="G11" i="2"/>
  <c r="G12" i="2"/>
  <c r="G14" i="2"/>
  <c r="G16" i="2"/>
  <c r="G18" i="2"/>
  <c r="G207" i="2"/>
  <c r="C107" i="2"/>
  <c r="C108" i="2"/>
  <c r="C109" i="2"/>
  <c r="C110" i="2"/>
  <c r="C111" i="2"/>
  <c r="C112" i="2"/>
  <c r="D133" i="2"/>
  <c r="D135" i="2"/>
  <c r="D137" i="2"/>
  <c r="D138" i="2"/>
  <c r="D139" i="2"/>
  <c r="D140" i="2"/>
  <c r="D141" i="2"/>
  <c r="D142" i="2"/>
  <c r="D131" i="2"/>
  <c r="D39" i="2"/>
  <c r="D41" i="2"/>
  <c r="D42" i="2"/>
  <c r="D45" i="2"/>
  <c r="D47" i="2"/>
  <c r="D49" i="2"/>
  <c r="D51" i="2"/>
  <c r="D53" i="2"/>
  <c r="D55" i="2"/>
  <c r="D186" i="2"/>
  <c r="D188" i="2"/>
  <c r="D192" i="2"/>
  <c r="D196" i="2"/>
  <c r="D197" i="2"/>
  <c r="D198" i="2"/>
  <c r="D88" i="2"/>
  <c r="D90" i="2"/>
  <c r="D92" i="2"/>
  <c r="D94" i="2"/>
  <c r="D96" i="2"/>
  <c r="D97" i="2"/>
  <c r="D98" i="2"/>
  <c r="D99" i="2"/>
  <c r="D100" i="2"/>
  <c r="D158" i="2"/>
  <c r="D160" i="2"/>
  <c r="D164" i="2"/>
  <c r="D168" i="2"/>
  <c r="D169" i="2"/>
  <c r="D170" i="2"/>
  <c r="D57" i="2"/>
  <c r="D62" i="2"/>
  <c r="D65" i="2"/>
  <c r="D67" i="2"/>
  <c r="D68" i="2"/>
  <c r="D70" i="2"/>
  <c r="D71" i="2"/>
  <c r="D72" i="2"/>
  <c r="D73" i="2"/>
  <c r="D21" i="2"/>
  <c r="D23" i="2"/>
  <c r="D27" i="2"/>
  <c r="D30" i="2"/>
  <c r="D32" i="2"/>
  <c r="D34" i="2"/>
  <c r="D35" i="2"/>
  <c r="D36" i="2"/>
  <c r="D37" i="2"/>
  <c r="D75" i="2"/>
  <c r="D76" i="2"/>
  <c r="D78" i="2"/>
  <c r="D81" i="2"/>
  <c r="D83" i="2"/>
  <c r="D84" i="2"/>
  <c r="D85" i="2"/>
  <c r="D86" i="2"/>
  <c r="D172" i="2"/>
  <c r="D174" i="2"/>
  <c r="D178" i="2"/>
  <c r="D182" i="2"/>
  <c r="D183" i="2"/>
  <c r="D184" i="2"/>
  <c r="D114" i="2"/>
  <c r="D116" i="2"/>
  <c r="D119" i="2"/>
  <c r="D123" i="2"/>
  <c r="D125" i="2"/>
  <c r="D127" i="2"/>
  <c r="D128" i="2"/>
  <c r="D129" i="2"/>
  <c r="D200" i="2"/>
  <c r="D202" i="2"/>
  <c r="D206" i="2"/>
  <c r="D210" i="2"/>
  <c r="D211" i="2"/>
  <c r="D212" i="2"/>
  <c r="D146" i="2"/>
  <c r="D150" i="2"/>
  <c r="D154" i="2"/>
  <c r="D155" i="2"/>
  <c r="D156" i="2"/>
  <c r="D144" i="2"/>
  <c r="C101" i="2"/>
  <c r="C102" i="2"/>
  <c r="C103" i="2"/>
  <c r="C104" i="2"/>
  <c r="C105" i="2"/>
  <c r="C106" i="2"/>
  <c r="B30" i="1"/>
  <c r="C26" i="1"/>
  <c r="C25" i="1"/>
  <c r="C24" i="1"/>
  <c r="C23" i="1"/>
  <c r="D5" i="6"/>
  <c r="D6" i="4"/>
</calcChain>
</file>

<file path=xl/sharedStrings.xml><?xml version="1.0" encoding="utf-8"?>
<sst xmlns="http://schemas.openxmlformats.org/spreadsheetml/2006/main" count="1055" uniqueCount="198">
  <si>
    <t>Reference</t>
  </si>
  <si>
    <t>Value</t>
  </si>
  <si>
    <t>Count</t>
  </si>
  <si>
    <t>mfr_num</t>
  </si>
  <si>
    <t>Manufacturer</t>
  </si>
  <si>
    <t>Supplyer</t>
  </si>
  <si>
    <t>Supplyer_Link</t>
  </si>
  <si>
    <t>Supplyer_Part_No</t>
  </si>
  <si>
    <t>R4</t>
  </si>
  <si>
    <t>1.69K</t>
  </si>
  <si>
    <t>RC1206FR-071K69L</t>
  </si>
  <si>
    <t>Yageo</t>
  </si>
  <si>
    <t>Digi-Key</t>
  </si>
  <si>
    <t>311-1.69KFRCT-ND</t>
  </si>
  <si>
    <t>R3</t>
  </si>
  <si>
    <t>RC1206JR-07300RL</t>
  </si>
  <si>
    <t>311-300ERCT-ND</t>
  </si>
  <si>
    <t>U1</t>
  </si>
  <si>
    <t>PS2801C-1-A</t>
  </si>
  <si>
    <t>CEL</t>
  </si>
  <si>
    <t>PS2801C-1-A-ND</t>
  </si>
  <si>
    <t>R1</t>
  </si>
  <si>
    <t>1.0K</t>
  </si>
  <si>
    <t>RC1206FR-071KL</t>
  </si>
  <si>
    <t>311-1.00KFRCT-ND</t>
  </si>
  <si>
    <t>D3</t>
  </si>
  <si>
    <t>Led_Small</t>
  </si>
  <si>
    <t>CLM1B-AKW-CUAVB253</t>
  </si>
  <si>
    <t>CREE</t>
  </si>
  <si>
    <t>CLM1B-AKW-CUAVB253CT-ND</t>
  </si>
  <si>
    <t>Jumper_NC_Small</t>
  </si>
  <si>
    <t>Molex, LLC</t>
  </si>
  <si>
    <t>WM17449-ND</t>
  </si>
  <si>
    <t>JP1</t>
  </si>
  <si>
    <t>969102-0000-DA</t>
  </si>
  <si>
    <t>3M</t>
  </si>
  <si>
    <t>3M9580-ND</t>
  </si>
  <si>
    <t>R2</t>
  </si>
  <si>
    <t>1.8K</t>
  </si>
  <si>
    <t>RC1206FR-071K8L</t>
  </si>
  <si>
    <t>311-1.80KFRCT-ND</t>
  </si>
  <si>
    <t>Q1</t>
  </si>
  <si>
    <t>IRFR7540TRPBF</t>
  </si>
  <si>
    <t>IRFR7540TRPBFCT-ND</t>
  </si>
  <si>
    <t>R5</t>
  </si>
  <si>
    <t>3.6K</t>
  </si>
  <si>
    <t>RC1206FR-073K6L</t>
  </si>
  <si>
    <t>http://www.digikey.com/products/en?keywords=311-3.60KFRCT-ND</t>
  </si>
  <si>
    <t>311-3.60KFRCT-ND</t>
  </si>
  <si>
    <t>CONN_01X01</t>
  </si>
  <si>
    <t>Keystone Electronics</t>
  </si>
  <si>
    <t>36-4966-ND</t>
  </si>
  <si>
    <t>CN1</t>
  </si>
  <si>
    <t>15912060</t>
  </si>
  <si>
    <t>4966</t>
  </si>
  <si>
    <t>300</t>
  </si>
  <si>
    <t>Number To Build</t>
  </si>
  <si>
    <t>Total Cost</t>
  </si>
  <si>
    <t>Price Per</t>
  </si>
  <si>
    <t>Totals</t>
  </si>
  <si>
    <t>NRE Costs</t>
  </si>
  <si>
    <t>Terminals</t>
  </si>
  <si>
    <t>Start Up</t>
  </si>
  <si>
    <t>Price Break</t>
  </si>
  <si>
    <t>Unit Price</t>
  </si>
  <si>
    <t>Extended Price</t>
  </si>
  <si>
    <t>Part Number</t>
  </si>
  <si>
    <t>PCB</t>
  </si>
  <si>
    <t>Packageing</t>
  </si>
  <si>
    <t>Box</t>
  </si>
  <si>
    <t>Quanity</t>
  </si>
  <si>
    <t>What</t>
  </si>
  <si>
    <t>Cost</t>
  </si>
  <si>
    <t>Link</t>
  </si>
  <si>
    <t>stickers</t>
  </si>
  <si>
    <t>Antistatic Bag</t>
  </si>
  <si>
    <t>Packageing Cost</t>
  </si>
  <si>
    <t>STENCLE</t>
  </si>
  <si>
    <t>Shipping</t>
  </si>
  <si>
    <t>www.pcbway.com</t>
  </si>
  <si>
    <t>RT3018 - White</t>
  </si>
  <si>
    <t>https://www.customkraftbox.com/</t>
  </si>
  <si>
    <t>https://www.printrunner.com/roll-sticker-printing.html</t>
  </si>
  <si>
    <t>Custome</t>
  </si>
  <si>
    <t>S-1322</t>
  </si>
  <si>
    <t>https://www.uline.com/BL_7852/Uline-Anti-Static-Reclosable-Bags?keywords=antistatic%20bags</t>
  </si>
  <si>
    <t>Total</t>
  </si>
  <si>
    <t>Development Cost</t>
  </si>
  <si>
    <t>Refrigerator</t>
  </si>
  <si>
    <t>https://www.walmart.com/ip/Igloo-Eraser-Board-Refrigerator-3.2-cu-ft/20970370?action=product_interest&amp;action_type=title&amp;beacon_version=1.0.2&amp;bucket_id=irsbucketdefault&amp;client_guid=583385e4-c3b1-4218-8401-9c31439c3fd3&amp;config_id=106&amp;customer_id_enc&amp;findingMethod=p13n&amp;guid=583385e4-c3b1-4218-8401-9c31439c3fd3&amp;item_id=20970370&amp;parent_anchor_item_id=36758405&amp;parent_item_id=36758405&amp;placement_id=irs-106-t1&amp;reporter=recommendations&amp;source=new_site&amp;strategy=PWVUB&amp;visitor_id=</t>
  </si>
  <si>
    <t>Varies</t>
  </si>
  <si>
    <t>Break Even Quanity</t>
  </si>
  <si>
    <t>Solder Paste</t>
  </si>
  <si>
    <t>1000-133-ND</t>
  </si>
  <si>
    <t>Solder paste Squeegee</t>
  </si>
  <si>
    <t>http://www.soldertools.net/squeegee-for-pcb-stencil/?gclid=CNy-gNL3iNICFdgVgQodL4UKNg</t>
  </si>
  <si>
    <t>??</t>
  </si>
  <si>
    <t>http://www.digikey.com/products/en?keywords=1000-133-ND</t>
  </si>
  <si>
    <t>Total Sales</t>
  </si>
  <si>
    <t>Little DRIVER BOARD 1.5</t>
  </si>
  <si>
    <t>PCB Way</t>
  </si>
  <si>
    <t>Sale Price</t>
  </si>
  <si>
    <t>Supplyer Part Number</t>
  </si>
  <si>
    <t>603-RC1206FR-071K69L</t>
  </si>
  <si>
    <t>Mouser</t>
  </si>
  <si>
    <t>603-RC1206JR-07300RL</t>
  </si>
  <si>
    <t>551-PS2801C-1-A</t>
  </si>
  <si>
    <t>603-RC1206FR-071KL</t>
  </si>
  <si>
    <t>941-CLM1BAKWCUAVB253</t>
  </si>
  <si>
    <t>538-15-91-2060</t>
  </si>
  <si>
    <t>517-9691020000DA</t>
  </si>
  <si>
    <t>603-RC1206FR-071K8L</t>
  </si>
  <si>
    <t>942-IRFR7540TRPBF</t>
  </si>
  <si>
    <t>603-RC1206FR-073K6L</t>
  </si>
  <si>
    <t>534-4966</t>
  </si>
  <si>
    <t>6 Pin Headder</t>
  </si>
  <si>
    <t>PSMN5R6-60YLX</t>
  </si>
  <si>
    <t>568-13047-1-ND</t>
  </si>
  <si>
    <t>771-PSMN5R6-60YLX</t>
  </si>
  <si>
    <t>Nexperia</t>
  </si>
  <si>
    <t>Little DRIVER BOARD 1.7</t>
  </si>
  <si>
    <t>http://www.reflowcontroller.com/index.php/store</t>
  </si>
  <si>
    <t>techFX Reflow Controller Kit</t>
  </si>
  <si>
    <t>see page</t>
  </si>
  <si>
    <t>Toaster oven</t>
  </si>
  <si>
    <t>Profit</t>
  </si>
  <si>
    <t>https://www.uline.com/Product/Detail/S-2610/Poly-Bags-Reclosable/3-x-3-4-Mil-Reclosable-Bags</t>
  </si>
  <si>
    <t>Sales Price</t>
  </si>
  <si>
    <t>http://www.pcbway.com</t>
  </si>
  <si>
    <t>36-8197-ND</t>
  </si>
  <si>
    <t>http://www.digikey.com/products/en?keywords=36-8197-ND</t>
  </si>
  <si>
    <t>http://www.digikey.com/products/en?keywords=311-300ERCT-ND</t>
  </si>
  <si>
    <t>534-8197</t>
  </si>
  <si>
    <t>http://www.mouser.com/ProductDetail/Keystone-Electronics/8197/?qs=sGAEpiMZZMvz8LftK4jeroG41YpJtIMUOuRWSw7kbvs%3d</t>
  </si>
  <si>
    <t>http://www.digikey.com/products/en?keywords=311-1.69KFRCT-ND</t>
  </si>
  <si>
    <t>http://www.digikey.com/products/en?keywords=PS2801C-1-A-ND</t>
  </si>
  <si>
    <t>http://www.digikey.com/products/en?keywords=311-1.00KFRCT-ND</t>
  </si>
  <si>
    <t>http://www.mouser.com/search/ProductDetail.aspx?R=0virtualkey0virtualkeyCLM1B-AKW-CUAVB253</t>
  </si>
  <si>
    <t>http://www.mouser.com/search/ProductDetail.aspx?R=0virtualkey0virtualkey15912060</t>
  </si>
  <si>
    <t>http://www.digikey.com/products/en?keywords=3M9580-ND</t>
  </si>
  <si>
    <t>http://www.digikey.com/products/en?keywords=311-1.80KFRCT-ND</t>
  </si>
  <si>
    <t>http://www.mouser.com/search/ProductDetail.aspx?R=0virtualkey0virtualkeyPSMN5R6-60YLX</t>
  </si>
  <si>
    <t>http://www.digikey.com/products/en?keywords=952-2227-ND</t>
  </si>
  <si>
    <t>http://www.digikey.com/products/en?keywords=952-2157-1-ND</t>
  </si>
  <si>
    <t>https://www.circuitspecialists.com/22strk-7.html</t>
  </si>
  <si>
    <t>https://www.circuitspecialists.com/22strk-6.html</t>
  </si>
  <si>
    <t>Wire</t>
  </si>
  <si>
    <t>Black and Red Zip Cord</t>
  </si>
  <si>
    <t>Heay Shrink Black</t>
  </si>
  <si>
    <t>Heay Shrink White</t>
  </si>
  <si>
    <t>FP014K-R5-ND</t>
  </si>
  <si>
    <t>FP-301 1/4" BL 200'</t>
  </si>
  <si>
    <t>FP-301 1/4" WT 200'</t>
  </si>
  <si>
    <t>Black HEATSHRK FP301 1/4"X0.5" 1=50PC</t>
  </si>
  <si>
    <t>White HEATSHRK FP301 1/4"X0.5" 1=50PC</t>
  </si>
  <si>
    <t>FP014W-R5-ND</t>
  </si>
  <si>
    <t>http://www.digikey.com/product-detail/en/3m/FP-301-1-4--WT-200-/FP014W-R5-ND/4518043</t>
  </si>
  <si>
    <t>http://www.digikey.com/product-detail/en/3m/FP-301-1-4--BL-200-/FP014K-R5-ND/4518008</t>
  </si>
  <si>
    <t>Ring Terminals</t>
  </si>
  <si>
    <t>2 Pin Housing</t>
  </si>
  <si>
    <t>952-2227-ND</t>
  </si>
  <si>
    <t>M20-1060200</t>
  </si>
  <si>
    <t>Harwin Inc.</t>
  </si>
  <si>
    <t>SIL FEMALE CRIMP HOUSING 2POS</t>
  </si>
  <si>
    <t>Crimps for 2 pin Housing</t>
  </si>
  <si>
    <t>Contact Crimp Socket 22-30 AWG Gold</t>
  </si>
  <si>
    <t>952-2157-1-ND</t>
  </si>
  <si>
    <t>M20-1160042</t>
  </si>
  <si>
    <t>Purple hook Up wire</t>
  </si>
  <si>
    <t>Blue hook Up wire</t>
  </si>
  <si>
    <t>22STR/K-6</t>
  </si>
  <si>
    <t>22STR/K-7</t>
  </si>
  <si>
    <t>Circuit specialists</t>
  </si>
  <si>
    <t>22AWG 1000' Stranded Violet Wire</t>
  </si>
  <si>
    <t>22AWG 1000' STRANDED BLUE</t>
  </si>
  <si>
    <t>Plastic Bag for Terminals</t>
  </si>
  <si>
    <t>Plastic Bag for Wire</t>
  </si>
  <si>
    <t>Stickers</t>
  </si>
  <si>
    <t>https://www.uline.com/Product/Detail/S-3460/Poly-Bags-Reclosable/4-x-5-2-Mil-Reclosable-Bags</t>
  </si>
  <si>
    <t>S-3460</t>
  </si>
  <si>
    <t>U-Line</t>
  </si>
  <si>
    <t>S-2610</t>
  </si>
  <si>
    <t>Packaging</t>
  </si>
  <si>
    <t>Molex</t>
  </si>
  <si>
    <t>CONN RING CIRC 10-12AWG M4 CRIMP</t>
  </si>
  <si>
    <t>019069-0209</t>
  </si>
  <si>
    <t>WM3739TR-ND</t>
  </si>
  <si>
    <t>http://www.digikey.com/product-detail/en/molex-llc/0190690232/WM3739TR-ND/2421411</t>
  </si>
  <si>
    <t>Little Driver 1.7</t>
  </si>
  <si>
    <t>Wiring Kit 1.1</t>
  </si>
  <si>
    <t>https://www.monoprice.com/Product?p_id=16177&amp;gclid=COCJoITUlNICFdQ6gQoddbwAFA</t>
  </si>
  <si>
    <t>NIMBUS</t>
  </si>
  <si>
    <t>Stuff to purchase</t>
  </si>
  <si>
    <t>From Who</t>
  </si>
  <si>
    <t>Boards / Stencle</t>
  </si>
  <si>
    <t>www.reflowcontroller.com</t>
  </si>
  <si>
    <t>LOCTITE</t>
  </si>
  <si>
    <t>Total Order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</si>
</sst>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_-&quot;$&quot;* #,##0.0000_-;\-&quot;$&quot;* #,##0.0000_-;_-&quot;$&quot;* &quot;-&quot;??_-;_-@_-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Lucida Grande"/>
    </font>
    <font>
      <sz val="8"/>
      <name val="Calibri"/>
      <family val="2"/>
      <scheme val="minor"/>
    </font>
    <font>
      <sz val="36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84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quotePrefix="1"/>
    <xf numFmtId="44" fontId="0" fillId="0" borderId="0" xfId="1" applyFont="1"/>
    <xf numFmtId="3" fontId="0" fillId="0" borderId="0" xfId="0" applyNumberFormat="1"/>
    <xf numFmtId="164" fontId="0" fillId="0" borderId="0" xfId="1" applyNumberFormat="1" applyFont="1"/>
    <xf numFmtId="0" fontId="4" fillId="0" borderId="0" xfId="0" applyFont="1"/>
    <xf numFmtId="0" fontId="0" fillId="0" borderId="1" xfId="0" applyNumberFormat="1" applyFont="1" applyBorder="1"/>
    <xf numFmtId="44" fontId="0" fillId="0" borderId="0" xfId="0" applyNumberFormat="1"/>
    <xf numFmtId="0" fontId="0" fillId="0" borderId="2" xfId="0" applyBorder="1"/>
    <xf numFmtId="44" fontId="0" fillId="0" borderId="2" xfId="1" applyFont="1" applyBorder="1"/>
    <xf numFmtId="0" fontId="2" fillId="0" borderId="0" xfId="50"/>
    <xf numFmtId="0" fontId="0" fillId="0" borderId="0" xfId="0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/>
    <xf numFmtId="44" fontId="0" fillId="0" borderId="0" xfId="1" applyFont="1" applyAlignment="1">
      <alignment horizontal="center" vertical="center"/>
    </xf>
    <xf numFmtId="44" fontId="4" fillId="0" borderId="0" xfId="1" applyFont="1"/>
    <xf numFmtId="0" fontId="0" fillId="0" borderId="0" xfId="0" applyFill="1" applyBorder="1"/>
    <xf numFmtId="0" fontId="0" fillId="0" borderId="0" xfId="0" applyNumberFormat="1" applyFont="1" applyBorder="1"/>
    <xf numFmtId="0" fontId="0" fillId="0" borderId="1" xfId="0" applyBorder="1"/>
    <xf numFmtId="0" fontId="0" fillId="0" borderId="0" xfId="0" applyBorder="1"/>
    <xf numFmtId="0" fontId="7" fillId="0" borderId="0" xfId="0" applyFont="1" applyAlignment="1">
      <alignment horizontal="left"/>
    </xf>
    <xf numFmtId="0" fontId="0" fillId="0" borderId="0" xfId="0" applyAlignment="1">
      <alignment horizontal="right"/>
    </xf>
  </cellXfs>
  <cellStyles count="184">
    <cellStyle name="Currency" xfId="1" builtinId="4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2</xdr:row>
          <xdr:rowOff>38100</xdr:rowOff>
        </xdr:from>
        <xdr:to>
          <xdr:col>6</xdr:col>
          <xdr:colOff>1676400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hyperlink" Target="http://www.pcbway.com" TargetMode="External"/><Relationship Id="rId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.pcbway.com" TargetMode="External"/><Relationship Id="rId2" Type="http://schemas.openxmlformats.org/officeDocument/2006/relationships/hyperlink" Target="http://www.pcbway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pcbway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pcbway.com" TargetMode="External"/><Relationship Id="rId2" Type="http://schemas.openxmlformats.org/officeDocument/2006/relationships/hyperlink" Target="http://www.reflowcontroller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K32"/>
  <sheetViews>
    <sheetView topLeftCell="H1" workbookViewId="0">
      <selection activeCell="A8" sqref="A8:K20"/>
    </sheetView>
  </sheetViews>
  <sheetFormatPr baseColWidth="10" defaultColWidth="16.1640625" defaultRowHeight="15" x14ac:dyDescent="0"/>
  <cols>
    <col min="1" max="1" width="17.1640625" bestFit="1" customWidth="1"/>
    <col min="2" max="2" width="21.1640625" bestFit="1" customWidth="1"/>
    <col min="3" max="3" width="11.5" bestFit="1" customWidth="1"/>
    <col min="4" max="4" width="10.5" style="11" bestFit="1" customWidth="1"/>
    <col min="5" max="5" width="8.5" bestFit="1" customWidth="1"/>
    <col min="6" max="6" width="10.5" bestFit="1" customWidth="1"/>
    <col min="7" max="7" width="23.33203125" bestFit="1" customWidth="1"/>
    <col min="8" max="8" width="21.1640625" bestFit="1" customWidth="1"/>
    <col min="9" max="9" width="19.1640625" bestFit="1" customWidth="1"/>
    <col min="10" max="10" width="8.33203125" bestFit="1" customWidth="1"/>
    <col min="11" max="11" width="95" bestFit="1" customWidth="1"/>
  </cols>
  <sheetData>
    <row r="1" spans="1:11" ht="45">
      <c r="A1" s="23" t="s">
        <v>188</v>
      </c>
      <c r="B1" s="23"/>
      <c r="C1" s="23"/>
      <c r="D1" s="23"/>
      <c r="E1" s="23"/>
      <c r="F1" s="23"/>
      <c r="G1" s="23"/>
      <c r="H1" s="23"/>
      <c r="I1" s="23"/>
      <c r="J1" s="23"/>
      <c r="K1" s="23"/>
    </row>
    <row r="3" spans="1:11">
      <c r="D3" s="24" t="s">
        <v>56</v>
      </c>
      <c r="E3" s="24"/>
      <c r="F3" s="11">
        <v>30</v>
      </c>
    </row>
    <row r="4" spans="1:11">
      <c r="D4" s="24" t="s">
        <v>57</v>
      </c>
      <c r="E4" s="24"/>
      <c r="F4" s="7">
        <f>SUM(F9:F20)+NRE+Start_up+Boxes+Development</f>
        <v>1873.3980000000001</v>
      </c>
    </row>
    <row r="5" spans="1:11">
      <c r="D5" s="24" t="s">
        <v>58</v>
      </c>
      <c r="E5" s="24"/>
      <c r="F5" s="12">
        <f>F4/F3</f>
        <v>62.446600000000004</v>
      </c>
    </row>
    <row r="8" spans="1:11">
      <c r="A8" t="s">
        <v>0</v>
      </c>
      <c r="B8" t="s">
        <v>1</v>
      </c>
      <c r="C8" s="11" t="s">
        <v>2</v>
      </c>
      <c r="D8" s="13" t="s">
        <v>70</v>
      </c>
      <c r="E8" t="s">
        <v>58</v>
      </c>
      <c r="F8" t="s">
        <v>59</v>
      </c>
      <c r="G8" t="s">
        <v>7</v>
      </c>
      <c r="H8" t="s">
        <v>3</v>
      </c>
      <c r="I8" t="s">
        <v>4</v>
      </c>
      <c r="J8" t="s">
        <v>5</v>
      </c>
      <c r="K8" t="s">
        <v>6</v>
      </c>
    </row>
    <row r="9" spans="1:11">
      <c r="A9" t="s">
        <v>8</v>
      </c>
      <c r="B9" t="s">
        <v>9</v>
      </c>
      <c r="C9" s="11">
        <v>1</v>
      </c>
      <c r="D9" s="13">
        <f>C9*$F$3</f>
        <v>30</v>
      </c>
      <c r="E9">
        <v>5.3E-3</v>
      </c>
      <c r="F9" s="2">
        <f>D9*E9</f>
        <v>0.159</v>
      </c>
      <c r="G9" t="s">
        <v>13</v>
      </c>
      <c r="H9" t="s">
        <v>10</v>
      </c>
      <c r="I9" t="s">
        <v>11</v>
      </c>
      <c r="J9" t="s">
        <v>12</v>
      </c>
      <c r="K9" t="s">
        <v>134</v>
      </c>
    </row>
    <row r="10" spans="1:11">
      <c r="A10" t="s">
        <v>14</v>
      </c>
      <c r="B10" s="1" t="s">
        <v>55</v>
      </c>
      <c r="C10" s="11">
        <v>1</v>
      </c>
      <c r="D10" s="13">
        <f t="shared" ref="D10:D20" si="0">C10*$F$3</f>
        <v>30</v>
      </c>
      <c r="E10">
        <v>4.0000000000000001E-3</v>
      </c>
      <c r="F10" s="2">
        <f t="shared" ref="F10:F20" si="1">D10*E10</f>
        <v>0.12</v>
      </c>
      <c r="G10" t="s">
        <v>16</v>
      </c>
      <c r="H10" t="s">
        <v>15</v>
      </c>
      <c r="I10" t="s">
        <v>11</v>
      </c>
      <c r="J10" t="s">
        <v>12</v>
      </c>
      <c r="K10" t="s">
        <v>131</v>
      </c>
    </row>
    <row r="11" spans="1:11">
      <c r="A11" t="s">
        <v>17</v>
      </c>
      <c r="B11" t="s">
        <v>18</v>
      </c>
      <c r="C11" s="11">
        <v>1</v>
      </c>
      <c r="D11" s="13">
        <f t="shared" si="0"/>
        <v>30</v>
      </c>
      <c r="E11">
        <v>0.28499999999999998</v>
      </c>
      <c r="F11" s="2">
        <f t="shared" si="1"/>
        <v>8.5499999999999989</v>
      </c>
      <c r="G11" t="s">
        <v>20</v>
      </c>
      <c r="H11" t="s">
        <v>18</v>
      </c>
      <c r="I11" t="s">
        <v>19</v>
      </c>
      <c r="J11" t="s">
        <v>12</v>
      </c>
      <c r="K11" t="s">
        <v>135</v>
      </c>
    </row>
    <row r="12" spans="1:11">
      <c r="A12" t="s">
        <v>21</v>
      </c>
      <c r="B12" t="s">
        <v>22</v>
      </c>
      <c r="C12" s="11">
        <v>1</v>
      </c>
      <c r="D12" s="13">
        <f t="shared" si="0"/>
        <v>30</v>
      </c>
      <c r="E12">
        <v>5.3E-3</v>
      </c>
      <c r="F12" s="2">
        <f t="shared" si="1"/>
        <v>0.159</v>
      </c>
      <c r="G12" t="s">
        <v>24</v>
      </c>
      <c r="H12" t="s">
        <v>23</v>
      </c>
      <c r="I12" t="s">
        <v>11</v>
      </c>
      <c r="J12" t="s">
        <v>12</v>
      </c>
      <c r="K12" t="s">
        <v>136</v>
      </c>
    </row>
    <row r="13" spans="1:11">
      <c r="A13" t="s">
        <v>25</v>
      </c>
      <c r="B13" t="s">
        <v>26</v>
      </c>
      <c r="C13" s="11">
        <v>1</v>
      </c>
      <c r="D13" s="13">
        <f t="shared" si="0"/>
        <v>30</v>
      </c>
      <c r="E13">
        <v>0.13300000000000001</v>
      </c>
      <c r="F13" s="2">
        <f t="shared" si="1"/>
        <v>3.99</v>
      </c>
      <c r="G13" t="s">
        <v>108</v>
      </c>
      <c r="H13" t="s">
        <v>27</v>
      </c>
      <c r="I13" t="s">
        <v>28</v>
      </c>
      <c r="J13" t="s">
        <v>104</v>
      </c>
      <c r="K13" t="s">
        <v>137</v>
      </c>
    </row>
    <row r="14" spans="1:11">
      <c r="A14" t="s">
        <v>52</v>
      </c>
      <c r="B14" t="s">
        <v>115</v>
      </c>
      <c r="C14" s="11">
        <v>1</v>
      </c>
      <c r="D14" s="13">
        <f t="shared" si="0"/>
        <v>30</v>
      </c>
      <c r="E14">
        <v>0.23</v>
      </c>
      <c r="F14" s="2">
        <f t="shared" si="1"/>
        <v>6.9</v>
      </c>
      <c r="G14" t="s">
        <v>109</v>
      </c>
      <c r="H14" s="1" t="s">
        <v>53</v>
      </c>
      <c r="I14" t="s">
        <v>31</v>
      </c>
      <c r="J14" t="s">
        <v>104</v>
      </c>
      <c r="K14" t="s">
        <v>138</v>
      </c>
    </row>
    <row r="15" spans="1:11">
      <c r="A15" t="s">
        <v>33</v>
      </c>
      <c r="B15" t="s">
        <v>30</v>
      </c>
      <c r="C15" s="11">
        <v>1</v>
      </c>
      <c r="D15" s="13">
        <f t="shared" si="0"/>
        <v>30</v>
      </c>
      <c r="E15">
        <v>4.2000000000000003E-2</v>
      </c>
      <c r="F15" s="2">
        <f t="shared" si="1"/>
        <v>1.26</v>
      </c>
      <c r="G15" t="s">
        <v>36</v>
      </c>
      <c r="H15" t="s">
        <v>34</v>
      </c>
      <c r="I15" t="s">
        <v>35</v>
      </c>
      <c r="J15" t="s">
        <v>12</v>
      </c>
      <c r="K15" t="s">
        <v>139</v>
      </c>
    </row>
    <row r="16" spans="1:11">
      <c r="A16" t="s">
        <v>37</v>
      </c>
      <c r="B16" t="s">
        <v>38</v>
      </c>
      <c r="C16" s="11">
        <v>1</v>
      </c>
      <c r="D16" s="13">
        <f t="shared" si="0"/>
        <v>30</v>
      </c>
      <c r="E16">
        <v>5.3E-3</v>
      </c>
      <c r="F16" s="2">
        <f t="shared" si="1"/>
        <v>0.159</v>
      </c>
      <c r="G16" t="s">
        <v>40</v>
      </c>
      <c r="H16" t="s">
        <v>39</v>
      </c>
      <c r="I16" t="s">
        <v>11</v>
      </c>
      <c r="J16" t="s">
        <v>12</v>
      </c>
      <c r="K16" t="s">
        <v>140</v>
      </c>
    </row>
    <row r="17" spans="1:11">
      <c r="A17" t="s">
        <v>41</v>
      </c>
      <c r="B17" t="s">
        <v>116</v>
      </c>
      <c r="C17" s="11">
        <v>1</v>
      </c>
      <c r="D17" s="13">
        <f t="shared" si="0"/>
        <v>30</v>
      </c>
      <c r="E17">
        <v>0.32</v>
      </c>
      <c r="F17" s="2">
        <f t="shared" si="1"/>
        <v>9.6</v>
      </c>
      <c r="G17" t="s">
        <v>118</v>
      </c>
      <c r="H17" t="s">
        <v>116</v>
      </c>
      <c r="I17" t="s">
        <v>119</v>
      </c>
      <c r="J17" t="s">
        <v>104</v>
      </c>
      <c r="K17" t="s">
        <v>141</v>
      </c>
    </row>
    <row r="18" spans="1:11">
      <c r="A18" t="s">
        <v>44</v>
      </c>
      <c r="B18" t="s">
        <v>45</v>
      </c>
      <c r="C18" s="11">
        <v>1</v>
      </c>
      <c r="D18" s="13">
        <f t="shared" si="0"/>
        <v>30</v>
      </c>
      <c r="E18">
        <v>5.3E-3</v>
      </c>
      <c r="F18" s="2">
        <f t="shared" si="1"/>
        <v>0.159</v>
      </c>
      <c r="G18" t="s">
        <v>48</v>
      </c>
      <c r="H18" t="s">
        <v>46</v>
      </c>
      <c r="I18" t="s">
        <v>11</v>
      </c>
      <c r="J18" t="s">
        <v>12</v>
      </c>
      <c r="K18" t="s">
        <v>47</v>
      </c>
    </row>
    <row r="19" spans="1:11">
      <c r="A19" t="s">
        <v>61</v>
      </c>
      <c r="B19" t="s">
        <v>49</v>
      </c>
      <c r="C19" s="11">
        <v>4</v>
      </c>
      <c r="D19" s="13">
        <f t="shared" ref="D19" si="2">C19*$F$3</f>
        <v>120</v>
      </c>
      <c r="E19" s="6">
        <v>0.2316</v>
      </c>
      <c r="F19" s="2">
        <f t="shared" ref="F19" si="3">D19*E19</f>
        <v>27.792000000000002</v>
      </c>
      <c r="G19" t="s">
        <v>129</v>
      </c>
      <c r="H19" s="15">
        <v>8197</v>
      </c>
      <c r="I19" t="s">
        <v>50</v>
      </c>
      <c r="J19" t="s">
        <v>12</v>
      </c>
      <c r="K19" t="s">
        <v>130</v>
      </c>
    </row>
    <row r="20" spans="1:11">
      <c r="A20" t="s">
        <v>67</v>
      </c>
      <c r="B20" t="s">
        <v>120</v>
      </c>
      <c r="C20" s="11">
        <v>1</v>
      </c>
      <c r="D20" s="13">
        <f t="shared" si="0"/>
        <v>30</v>
      </c>
      <c r="E20" s="6">
        <v>0.41399999999999998</v>
      </c>
      <c r="F20" s="2">
        <f t="shared" si="1"/>
        <v>12.42</v>
      </c>
      <c r="G20" t="s">
        <v>120</v>
      </c>
      <c r="H20" t="s">
        <v>120</v>
      </c>
      <c r="I20" t="s">
        <v>100</v>
      </c>
      <c r="J20" t="s">
        <v>100</v>
      </c>
      <c r="K20" s="10" t="s">
        <v>128</v>
      </c>
    </row>
    <row r="22" spans="1:11">
      <c r="B22" t="s">
        <v>86</v>
      </c>
      <c r="C22" t="s">
        <v>58</v>
      </c>
    </row>
    <row r="23" spans="1:11">
      <c r="A23" t="s">
        <v>60</v>
      </c>
      <c r="B23" s="2"/>
      <c r="C23" s="2">
        <f>(NRE/$F$3)</f>
        <v>0</v>
      </c>
    </row>
    <row r="24" spans="1:11">
      <c r="A24" t="s">
        <v>62</v>
      </c>
      <c r="B24" s="2">
        <f>'Start Up Costs'!D9</f>
        <v>378.77</v>
      </c>
      <c r="C24" s="2">
        <f>(Start_up/$F$3)</f>
        <v>12.625666666666666</v>
      </c>
    </row>
    <row r="25" spans="1:11">
      <c r="A25" t="s">
        <v>76</v>
      </c>
      <c r="B25" s="2">
        <f>Packageing!D6</f>
        <v>423.36</v>
      </c>
      <c r="C25" s="2">
        <f>(Boxes/$F$3)</f>
        <v>14.112</v>
      </c>
    </row>
    <row r="26" spans="1:11">
      <c r="A26" t="s">
        <v>87</v>
      </c>
      <c r="B26" s="2">
        <v>1000</v>
      </c>
      <c r="C26" s="2">
        <f>(Development/$F$3)</f>
        <v>33.333333333333336</v>
      </c>
    </row>
    <row r="28" spans="1:11">
      <c r="A28" t="s">
        <v>101</v>
      </c>
      <c r="B28" s="2">
        <v>13.99</v>
      </c>
    </row>
    <row r="30" spans="1:11">
      <c r="A30" t="s">
        <v>91</v>
      </c>
      <c r="B30" s="2">
        <f>INT(F4/(B28*0.8))+1</f>
        <v>168</v>
      </c>
    </row>
    <row r="31" spans="1:11">
      <c r="A31" t="s">
        <v>98</v>
      </c>
      <c r="B31" s="2">
        <f>B28*F3</f>
        <v>419.7</v>
      </c>
    </row>
    <row r="32" spans="1:11">
      <c r="A32" t="s">
        <v>125</v>
      </c>
      <c r="B32" s="2">
        <f>(B31*0.8-(NumToBuild*F5))</f>
        <v>-1537.6380000000001</v>
      </c>
    </row>
  </sheetData>
  <mergeCells count="4">
    <mergeCell ref="A1:K1"/>
    <mergeCell ref="D3:E3"/>
    <mergeCell ref="D4:E4"/>
    <mergeCell ref="D5:E5"/>
  </mergeCells>
  <phoneticPr fontId="6" type="noConversion"/>
  <hyperlinks>
    <hyperlink ref="K20" r:id="rId1"/>
  </hyperlinks>
  <pageMargins left="0.75" right="0.75" top="1" bottom="1" header="0.5" footer="0.5"/>
  <pageSetup orientation="portrait" horizontalDpi="4294967292" verticalDpi="429496729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Price">
                <anchor moveWithCells="1" sizeWithCells="1">
                  <from>
                    <xdr:col>6</xdr:col>
                    <xdr:colOff>457200</xdr:colOff>
                    <xdr:row>2</xdr:row>
                    <xdr:rowOff>38100</xdr:rowOff>
                  </from>
                  <to>
                    <xdr:col>6</xdr:col>
                    <xdr:colOff>1676400</xdr:colOff>
                    <xdr:row>4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7"/>
  <sheetViews>
    <sheetView workbookViewId="0">
      <selection activeCell="A18" sqref="A18:K18"/>
    </sheetView>
  </sheetViews>
  <sheetFormatPr baseColWidth="10" defaultColWidth="16.1640625" defaultRowHeight="15" x14ac:dyDescent="0"/>
  <cols>
    <col min="1" max="1" width="26.83203125" style="16" customWidth="1"/>
    <col min="2" max="2" width="35.83203125" style="16" bestFit="1" customWidth="1"/>
    <col min="3" max="3" width="11.5" style="16" bestFit="1" customWidth="1"/>
    <col min="4" max="4" width="10.5" style="11" bestFit="1" customWidth="1"/>
    <col min="5" max="5" width="9" style="16" bestFit="1" customWidth="1"/>
    <col min="6" max="6" width="12.5" style="16" bestFit="1" customWidth="1"/>
    <col min="7" max="7" width="23.33203125" style="16" bestFit="1" customWidth="1"/>
    <col min="8" max="8" width="21.1640625" style="16" bestFit="1" customWidth="1"/>
    <col min="9" max="9" width="23" style="16" bestFit="1" customWidth="1"/>
    <col min="10" max="10" width="8.33203125" style="16" bestFit="1" customWidth="1"/>
    <col min="11" max="11" width="95" style="16" bestFit="1" customWidth="1"/>
    <col min="12" max="16384" width="16.1640625" style="16"/>
  </cols>
  <sheetData>
    <row r="1" spans="1:11" ht="45">
      <c r="A1" s="23" t="s">
        <v>189</v>
      </c>
      <c r="B1" s="23"/>
      <c r="C1" s="23"/>
      <c r="D1" s="23"/>
      <c r="E1" s="23"/>
      <c r="F1" s="23"/>
      <c r="G1" s="23"/>
      <c r="H1" s="23"/>
      <c r="I1" s="23"/>
      <c r="J1" s="23"/>
      <c r="K1" s="23"/>
    </row>
    <row r="3" spans="1:11">
      <c r="D3" s="24" t="s">
        <v>56</v>
      </c>
      <c r="E3" s="24"/>
      <c r="F3" s="11">
        <v>1</v>
      </c>
    </row>
    <row r="4" spans="1:11">
      <c r="D4" s="24" t="s">
        <v>57</v>
      </c>
      <c r="E4" s="24"/>
      <c r="F4" s="7">
        <f>SUM(F9:F19)</f>
        <v>792.68467999999996</v>
      </c>
    </row>
    <row r="5" spans="1:11">
      <c r="D5" s="24" t="s">
        <v>58</v>
      </c>
      <c r="E5" s="24"/>
      <c r="F5" s="12">
        <f>F4/F3</f>
        <v>792.68467999999996</v>
      </c>
    </row>
    <row r="8" spans="1:11">
      <c r="A8" s="16" t="s">
        <v>0</v>
      </c>
      <c r="B8" s="16" t="s">
        <v>1</v>
      </c>
      <c r="C8" s="11" t="s">
        <v>2</v>
      </c>
      <c r="D8" s="13" t="s">
        <v>70</v>
      </c>
      <c r="E8" s="16" t="s">
        <v>58</v>
      </c>
      <c r="F8" s="16" t="s">
        <v>59</v>
      </c>
      <c r="G8" s="16" t="s">
        <v>7</v>
      </c>
      <c r="H8" s="16" t="s">
        <v>3</v>
      </c>
      <c r="I8" s="16" t="s">
        <v>4</v>
      </c>
      <c r="J8" s="16" t="s">
        <v>5</v>
      </c>
      <c r="K8" s="16" t="s">
        <v>6</v>
      </c>
    </row>
    <row r="9" spans="1:11">
      <c r="A9" s="16" t="s">
        <v>146</v>
      </c>
      <c r="B9" s="16" t="s">
        <v>147</v>
      </c>
      <c r="C9" s="11">
        <v>3</v>
      </c>
      <c r="D9" s="13">
        <f>INT((C9*$F$3/1000)+0.9999)</f>
        <v>1</v>
      </c>
      <c r="E9" s="2">
        <v>439.99</v>
      </c>
      <c r="F9" s="2">
        <f>D9*E9</f>
        <v>439.99</v>
      </c>
      <c r="G9" s="14">
        <v>16177</v>
      </c>
      <c r="I9" s="16" t="s">
        <v>191</v>
      </c>
      <c r="J9" s="16" t="s">
        <v>12</v>
      </c>
      <c r="K9" s="16" t="s">
        <v>190</v>
      </c>
    </row>
    <row r="10" spans="1:11">
      <c r="A10" s="16" t="s">
        <v>148</v>
      </c>
      <c r="B10" s="1" t="s">
        <v>153</v>
      </c>
      <c r="C10" s="11">
        <v>2</v>
      </c>
      <c r="D10" s="13">
        <f>C10*$F$3/50</f>
        <v>0.04</v>
      </c>
      <c r="E10" s="2">
        <v>1.248</v>
      </c>
      <c r="F10" s="2">
        <f t="shared" ref="F10:F19" si="0">D10*E10</f>
        <v>4.9919999999999999E-2</v>
      </c>
      <c r="G10" s="16" t="s">
        <v>150</v>
      </c>
      <c r="H10" s="16" t="s">
        <v>151</v>
      </c>
      <c r="I10" s="16" t="s">
        <v>35</v>
      </c>
      <c r="J10" s="16" t="s">
        <v>12</v>
      </c>
      <c r="K10" s="16" t="s">
        <v>157</v>
      </c>
    </row>
    <row r="11" spans="1:11">
      <c r="A11" s="16" t="s">
        <v>149</v>
      </c>
      <c r="B11" s="16" t="s">
        <v>154</v>
      </c>
      <c r="C11" s="11">
        <v>2</v>
      </c>
      <c r="D11" s="13">
        <f>C11*$F$3/50</f>
        <v>0.04</v>
      </c>
      <c r="E11" s="2">
        <v>1.248</v>
      </c>
      <c r="F11" s="2">
        <f t="shared" si="0"/>
        <v>4.9919999999999999E-2</v>
      </c>
      <c r="G11" s="16" t="s">
        <v>155</v>
      </c>
      <c r="H11" s="16" t="s">
        <v>152</v>
      </c>
      <c r="I11" s="16" t="s">
        <v>35</v>
      </c>
      <c r="J11" s="16" t="s">
        <v>12</v>
      </c>
      <c r="K11" s="16" t="s">
        <v>156</v>
      </c>
    </row>
    <row r="12" spans="1:11">
      <c r="A12" s="16" t="s">
        <v>158</v>
      </c>
      <c r="B12" s="16" t="s">
        <v>184</v>
      </c>
      <c r="C12" s="11">
        <v>5</v>
      </c>
      <c r="D12" s="13">
        <f t="shared" ref="D12:D14" si="1">C12*$F$3</f>
        <v>5</v>
      </c>
      <c r="E12" s="2">
        <v>0.14857999999999999</v>
      </c>
      <c r="F12" s="2">
        <f t="shared" si="0"/>
        <v>0.74289999999999989</v>
      </c>
      <c r="G12" s="16" t="s">
        <v>186</v>
      </c>
      <c r="H12" s="1" t="s">
        <v>185</v>
      </c>
      <c r="I12" s="16" t="s">
        <v>183</v>
      </c>
      <c r="J12" s="16" t="s">
        <v>12</v>
      </c>
      <c r="K12" s="16" t="s">
        <v>187</v>
      </c>
    </row>
    <row r="13" spans="1:11">
      <c r="A13" s="16" t="s">
        <v>159</v>
      </c>
      <c r="B13" s="16" t="s">
        <v>163</v>
      </c>
      <c r="C13" s="11">
        <v>1</v>
      </c>
      <c r="D13" s="13">
        <f t="shared" si="1"/>
        <v>1</v>
      </c>
      <c r="E13" s="2">
        <v>6.7199999999999996E-2</v>
      </c>
      <c r="F13" s="2">
        <f t="shared" si="0"/>
        <v>6.7199999999999996E-2</v>
      </c>
      <c r="G13" s="16" t="s">
        <v>160</v>
      </c>
      <c r="H13" s="16" t="s">
        <v>161</v>
      </c>
      <c r="I13" s="16" t="s">
        <v>162</v>
      </c>
      <c r="J13" s="16" t="s">
        <v>12</v>
      </c>
      <c r="K13" s="16" t="s">
        <v>142</v>
      </c>
    </row>
    <row r="14" spans="1:11">
      <c r="A14" s="16" t="s">
        <v>164</v>
      </c>
      <c r="B14" s="16" t="s">
        <v>165</v>
      </c>
      <c r="C14" s="11">
        <v>3</v>
      </c>
      <c r="D14" s="13">
        <f t="shared" si="1"/>
        <v>3</v>
      </c>
      <c r="E14" s="2">
        <v>4.1579999999999999E-2</v>
      </c>
      <c r="F14" s="2">
        <f t="shared" si="0"/>
        <v>0.12473999999999999</v>
      </c>
      <c r="G14" s="16" t="s">
        <v>166</v>
      </c>
      <c r="H14" s="1" t="s">
        <v>167</v>
      </c>
      <c r="I14" s="16" t="s">
        <v>162</v>
      </c>
      <c r="J14" s="16" t="s">
        <v>12</v>
      </c>
      <c r="K14" s="16" t="s">
        <v>143</v>
      </c>
    </row>
    <row r="15" spans="1:11">
      <c r="A15" s="16" t="s">
        <v>168</v>
      </c>
      <c r="B15" s="16" t="s">
        <v>173</v>
      </c>
      <c r="C15" s="11">
        <v>3</v>
      </c>
      <c r="D15" s="13">
        <f t="shared" ref="D15:D16" si="2">INT((C15*$F$3/1000)+0.9999)</f>
        <v>1</v>
      </c>
      <c r="E15" s="2">
        <v>67.33</v>
      </c>
      <c r="F15" s="2">
        <f t="shared" si="0"/>
        <v>67.33</v>
      </c>
      <c r="G15" s="16" t="s">
        <v>171</v>
      </c>
      <c r="H15" s="16" t="s">
        <v>171</v>
      </c>
      <c r="I15" s="16" t="s">
        <v>172</v>
      </c>
      <c r="J15" s="16" t="s">
        <v>172</v>
      </c>
      <c r="K15" s="16" t="s">
        <v>144</v>
      </c>
    </row>
    <row r="16" spans="1:11">
      <c r="A16" s="16" t="s">
        <v>169</v>
      </c>
      <c r="B16" s="16" t="s">
        <v>174</v>
      </c>
      <c r="C16" s="11">
        <v>3</v>
      </c>
      <c r="D16" s="13">
        <f t="shared" si="2"/>
        <v>1</v>
      </c>
      <c r="E16" s="2">
        <v>67.33</v>
      </c>
      <c r="F16" s="2">
        <f t="shared" si="0"/>
        <v>67.33</v>
      </c>
      <c r="G16" s="16" t="s">
        <v>170</v>
      </c>
      <c r="H16" s="16" t="s">
        <v>170</v>
      </c>
      <c r="I16" s="16" t="s">
        <v>172</v>
      </c>
      <c r="J16" s="16" t="s">
        <v>172</v>
      </c>
      <c r="K16" s="16" t="s">
        <v>145</v>
      </c>
    </row>
    <row r="17" spans="1:11">
      <c r="A17" s="16" t="s">
        <v>175</v>
      </c>
      <c r="B17" s="16" t="s">
        <v>182</v>
      </c>
      <c r="C17" s="11">
        <v>1</v>
      </c>
      <c r="D17" s="13">
        <v>1000</v>
      </c>
      <c r="E17" s="2">
        <f>44/1000</f>
        <v>4.3999999999999997E-2</v>
      </c>
      <c r="F17" s="2">
        <f t="shared" si="0"/>
        <v>44</v>
      </c>
      <c r="G17" s="16" t="s">
        <v>181</v>
      </c>
      <c r="H17" s="16" t="s">
        <v>181</v>
      </c>
      <c r="I17" s="16" t="s">
        <v>180</v>
      </c>
      <c r="J17" s="16" t="s">
        <v>180</v>
      </c>
      <c r="K17" s="16" t="s">
        <v>126</v>
      </c>
    </row>
    <row r="18" spans="1:11">
      <c r="A18" s="16" t="s">
        <v>176</v>
      </c>
      <c r="B18" s="16" t="s">
        <v>182</v>
      </c>
      <c r="C18" s="11">
        <v>1</v>
      </c>
      <c r="D18" s="13">
        <v>1000</v>
      </c>
      <c r="E18" s="2">
        <f>33/1000</f>
        <v>3.3000000000000002E-2</v>
      </c>
      <c r="F18" s="2">
        <f t="shared" si="0"/>
        <v>33</v>
      </c>
      <c r="G18" s="16" t="s">
        <v>179</v>
      </c>
      <c r="H18" s="16" t="s">
        <v>179</v>
      </c>
      <c r="I18" s="16" t="s">
        <v>180</v>
      </c>
      <c r="J18" s="16" t="s">
        <v>180</v>
      </c>
      <c r="K18" s="16" t="s">
        <v>178</v>
      </c>
    </row>
    <row r="19" spans="1:11">
      <c r="A19" s="16" t="s">
        <v>177</v>
      </c>
      <c r="C19" s="11"/>
      <c r="D19" s="13">
        <v>1000</v>
      </c>
      <c r="E19" s="18">
        <v>0.14000000000000001</v>
      </c>
      <c r="F19" s="2">
        <f t="shared" si="0"/>
        <v>140</v>
      </c>
      <c r="H19" s="15"/>
    </row>
    <row r="25" spans="1:11">
      <c r="C25" s="16" t="s">
        <v>127</v>
      </c>
      <c r="D25" s="17">
        <f>9</f>
        <v>9</v>
      </c>
    </row>
    <row r="26" spans="1:11">
      <c r="C26" s="16" t="s">
        <v>98</v>
      </c>
      <c r="D26" s="12">
        <f>F3*D25</f>
        <v>9</v>
      </c>
    </row>
    <row r="27" spans="1:11">
      <c r="C27" s="16" t="s">
        <v>125</v>
      </c>
      <c r="D27" s="12">
        <f>(D26*0.8)-F4</f>
        <v>-785.48467999999991</v>
      </c>
    </row>
  </sheetData>
  <mergeCells count="4">
    <mergeCell ref="A1:K1"/>
    <mergeCell ref="D3:E3"/>
    <mergeCell ref="D4:E4"/>
    <mergeCell ref="D5:E5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5"/>
  <sheetViews>
    <sheetView workbookViewId="0">
      <selection activeCell="G2" sqref="G2"/>
    </sheetView>
  </sheetViews>
  <sheetFormatPr baseColWidth="10" defaultRowHeight="15" x14ac:dyDescent="0"/>
  <sheetData>
    <row r="1" spans="1:5">
      <c r="A1" t="s">
        <v>67</v>
      </c>
    </row>
    <row r="2" spans="1:5">
      <c r="A2" t="s">
        <v>70</v>
      </c>
      <c r="B2" t="s">
        <v>71</v>
      </c>
      <c r="C2" t="s">
        <v>66</v>
      </c>
      <c r="D2" t="s">
        <v>72</v>
      </c>
      <c r="E2" t="s">
        <v>73</v>
      </c>
    </row>
    <row r="3" spans="1:5">
      <c r="A3" s="8">
        <v>1000</v>
      </c>
      <c r="B3" s="8" t="s">
        <v>67</v>
      </c>
      <c r="C3" s="8"/>
      <c r="D3" s="9">
        <v>403</v>
      </c>
      <c r="E3" s="10" t="s">
        <v>79</v>
      </c>
    </row>
    <row r="4" spans="1:5">
      <c r="A4" s="8">
        <v>1000</v>
      </c>
      <c r="B4" s="8" t="s">
        <v>78</v>
      </c>
      <c r="C4" s="8"/>
      <c r="D4" s="9">
        <v>126</v>
      </c>
      <c r="E4" s="10" t="s">
        <v>79</v>
      </c>
    </row>
    <row r="5" spans="1:5">
      <c r="D5" s="7">
        <f>SUM(D3:D4)</f>
        <v>529</v>
      </c>
    </row>
  </sheetData>
  <hyperlinks>
    <hyperlink ref="E3" r:id="rId1"/>
    <hyperlink ref="E4" r:id="rId2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6"/>
  <sheetViews>
    <sheetView workbookViewId="0">
      <selection activeCell="H30" sqref="H30"/>
    </sheetView>
  </sheetViews>
  <sheetFormatPr baseColWidth="10" defaultRowHeight="15" x14ac:dyDescent="0"/>
  <cols>
    <col min="1" max="1" width="10.33203125" bestFit="1" customWidth="1"/>
    <col min="2" max="2" width="12.33203125" bestFit="1" customWidth="1"/>
    <col min="3" max="3" width="13.83203125" bestFit="1" customWidth="1"/>
    <col min="4" max="4" width="9" bestFit="1" customWidth="1"/>
    <col min="5" max="5" width="4.5" bestFit="1" customWidth="1"/>
  </cols>
  <sheetData>
    <row r="1" spans="1:5">
      <c r="A1" t="s">
        <v>68</v>
      </c>
    </row>
    <row r="2" spans="1:5">
      <c r="A2" t="s">
        <v>70</v>
      </c>
      <c r="B2" t="s">
        <v>71</v>
      </c>
      <c r="C2" t="s">
        <v>66</v>
      </c>
      <c r="D2" t="s">
        <v>72</v>
      </c>
      <c r="E2" t="s">
        <v>73</v>
      </c>
    </row>
    <row r="3" spans="1:5">
      <c r="A3" s="8">
        <v>1000</v>
      </c>
      <c r="B3" s="8" t="s">
        <v>69</v>
      </c>
      <c r="C3" s="8" t="s">
        <v>80</v>
      </c>
      <c r="D3" s="9">
        <v>210</v>
      </c>
      <c r="E3" t="s">
        <v>81</v>
      </c>
    </row>
    <row r="4" spans="1:5">
      <c r="A4" s="8">
        <v>1000</v>
      </c>
      <c r="B4" s="8" t="s">
        <v>74</v>
      </c>
      <c r="C4" s="8" t="s">
        <v>83</v>
      </c>
      <c r="D4" s="9">
        <v>151.36000000000001</v>
      </c>
      <c r="E4" t="s">
        <v>82</v>
      </c>
    </row>
    <row r="5" spans="1:5">
      <c r="A5" s="8">
        <v>1000</v>
      </c>
      <c r="B5" s="8" t="s">
        <v>75</v>
      </c>
      <c r="C5" s="8" t="s">
        <v>84</v>
      </c>
      <c r="D5" s="9">
        <v>62</v>
      </c>
      <c r="E5" t="s">
        <v>85</v>
      </c>
    </row>
    <row r="6" spans="1:5">
      <c r="D6" s="7">
        <f>SUM(D3:D5)</f>
        <v>423.36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9"/>
  <sheetViews>
    <sheetView workbookViewId="0">
      <selection activeCell="B6" sqref="B6:E6"/>
    </sheetView>
  </sheetViews>
  <sheetFormatPr baseColWidth="10" defaultRowHeight="15" x14ac:dyDescent="0"/>
  <cols>
    <col min="1" max="1" width="10.33203125" bestFit="1" customWidth="1"/>
    <col min="2" max="2" width="19.6640625" bestFit="1" customWidth="1"/>
    <col min="3" max="3" width="21.1640625" bestFit="1" customWidth="1"/>
    <col min="4" max="4" width="10.5" bestFit="1" customWidth="1"/>
    <col min="5" max="5" width="255.83203125" bestFit="1" customWidth="1"/>
  </cols>
  <sheetData>
    <row r="1" spans="1:5">
      <c r="A1" t="s">
        <v>68</v>
      </c>
    </row>
    <row r="2" spans="1:5">
      <c r="A2" t="s">
        <v>70</v>
      </c>
      <c r="B2" t="s">
        <v>71</v>
      </c>
      <c r="C2" t="s">
        <v>66</v>
      </c>
      <c r="D2" t="s">
        <v>72</v>
      </c>
      <c r="E2" t="s">
        <v>73</v>
      </c>
    </row>
    <row r="3" spans="1:5">
      <c r="A3" s="8">
        <v>1</v>
      </c>
      <c r="B3" s="8" t="s">
        <v>122</v>
      </c>
      <c r="C3" s="8" t="s">
        <v>123</v>
      </c>
      <c r="D3" s="9">
        <v>39.99</v>
      </c>
      <c r="E3" t="s">
        <v>121</v>
      </c>
    </row>
    <row r="4" spans="1:5">
      <c r="A4" s="8">
        <v>1</v>
      </c>
      <c r="B4" s="8" t="s">
        <v>124</v>
      </c>
      <c r="C4" s="8"/>
      <c r="D4" s="9">
        <v>60</v>
      </c>
    </row>
    <row r="5" spans="1:5">
      <c r="A5" s="8">
        <v>1</v>
      </c>
      <c r="B5" s="8" t="s">
        <v>88</v>
      </c>
      <c r="C5" s="8" t="s">
        <v>90</v>
      </c>
      <c r="D5" s="9">
        <v>100</v>
      </c>
      <c r="E5" t="s">
        <v>89</v>
      </c>
    </row>
    <row r="6" spans="1:5">
      <c r="A6" s="8">
        <v>1</v>
      </c>
      <c r="B6" s="8" t="s">
        <v>94</v>
      </c>
      <c r="C6" s="8" t="s">
        <v>96</v>
      </c>
      <c r="D6" s="9">
        <v>15</v>
      </c>
      <c r="E6" t="s">
        <v>95</v>
      </c>
    </row>
    <row r="7" spans="1:5">
      <c r="A7" s="8">
        <v>1</v>
      </c>
      <c r="B7" s="8" t="s">
        <v>77</v>
      </c>
      <c r="C7" t="s">
        <v>99</v>
      </c>
      <c r="D7" s="9">
        <v>65</v>
      </c>
      <c r="E7" s="10" t="s">
        <v>79</v>
      </c>
    </row>
    <row r="8" spans="1:5">
      <c r="A8" s="8">
        <v>1</v>
      </c>
      <c r="B8" s="8" t="s">
        <v>92</v>
      </c>
      <c r="C8" s="8" t="s">
        <v>93</v>
      </c>
      <c r="D8" s="9">
        <v>98.78</v>
      </c>
      <c r="E8" t="s">
        <v>97</v>
      </c>
    </row>
    <row r="9" spans="1:5">
      <c r="D9" s="7">
        <f>SUM(D3:D8)</f>
        <v>378.77</v>
      </c>
    </row>
  </sheetData>
  <hyperlinks>
    <hyperlink ref="E7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212"/>
  <sheetViews>
    <sheetView topLeftCell="A55" workbookViewId="0">
      <selection activeCell="A74" sqref="A74:XFD86"/>
    </sheetView>
  </sheetViews>
  <sheetFormatPr baseColWidth="10" defaultRowHeight="15" x14ac:dyDescent="0"/>
  <cols>
    <col min="1" max="1" width="26.1640625" style="14" bestFit="1" customWidth="1"/>
    <col min="3" max="3" width="10.83203125" style="4"/>
    <col min="4" max="4" width="13.33203125" style="2" bestFit="1" customWidth="1"/>
    <col min="5" max="5" width="26.1640625" bestFit="1" customWidth="1"/>
    <col min="7" max="7" width="107.6640625" bestFit="1" customWidth="1"/>
  </cols>
  <sheetData>
    <row r="1" spans="1:7">
      <c r="A1" s="14" t="s">
        <v>3</v>
      </c>
      <c r="B1" t="s">
        <v>63</v>
      </c>
      <c r="C1" s="4" t="s">
        <v>64</v>
      </c>
      <c r="D1" s="2" t="s">
        <v>65</v>
      </c>
      <c r="E1" t="s">
        <v>102</v>
      </c>
      <c r="F1" t="s">
        <v>5</v>
      </c>
      <c r="G1" t="s">
        <v>73</v>
      </c>
    </row>
    <row r="2" spans="1:7">
      <c r="A2" s="14">
        <v>8197</v>
      </c>
      <c r="B2">
        <v>1</v>
      </c>
      <c r="C2" s="4">
        <v>0.59</v>
      </c>
      <c r="D2" s="2">
        <v>0.59</v>
      </c>
      <c r="E2" t="s">
        <v>129</v>
      </c>
      <c r="F2" t="s">
        <v>12</v>
      </c>
      <c r="G2" t="str">
        <f>IF(F2="Digi-Key","http://www.digikey.com/products/en?keywords="&amp;E2,"http://www.mouser.com/search/ProductDetail.aspx?R=0virtualkey0virtualkey"&amp;A2)</f>
        <v>http://www.digikey.com/products/en?keywords=36-8197-ND</v>
      </c>
    </row>
    <row r="3" spans="1:7">
      <c r="A3" s="14">
        <v>8197</v>
      </c>
      <c r="B3">
        <v>1</v>
      </c>
      <c r="C3" s="4">
        <v>0.49</v>
      </c>
      <c r="D3" s="2">
        <f>C3*B3</f>
        <v>0.49</v>
      </c>
      <c r="E3" t="s">
        <v>132</v>
      </c>
      <c r="F3" t="s">
        <v>104</v>
      </c>
      <c r="G3" t="s">
        <v>133</v>
      </c>
    </row>
    <row r="4" spans="1:7">
      <c r="A4" s="14">
        <v>8197</v>
      </c>
      <c r="B4">
        <v>10</v>
      </c>
      <c r="C4" s="4">
        <v>0.46300000000000002</v>
      </c>
      <c r="D4" s="2">
        <v>4.63</v>
      </c>
      <c r="E4" t="s">
        <v>129</v>
      </c>
      <c r="F4" t="s">
        <v>12</v>
      </c>
      <c r="G4" t="str">
        <f>IF(F4="Digi-Key","http://www.digikey.com/products/en?keywords="&amp;E4,"http://www.mouser.com/search/ProductDetail.aspx?R=0virtualkey0virtualkey"&amp;A4)</f>
        <v>http://www.digikey.com/products/en?keywords=36-8197-ND</v>
      </c>
    </row>
    <row r="5" spans="1:7">
      <c r="A5" s="14">
        <v>8197</v>
      </c>
      <c r="B5">
        <v>10</v>
      </c>
      <c r="C5" s="4">
        <v>0.46800000000000003</v>
      </c>
      <c r="D5" s="2">
        <f>C5*B5</f>
        <v>4.6800000000000006</v>
      </c>
      <c r="E5" t="s">
        <v>132</v>
      </c>
      <c r="F5" t="s">
        <v>104</v>
      </c>
      <c r="G5" t="s">
        <v>133</v>
      </c>
    </row>
    <row r="6" spans="1:7">
      <c r="A6" s="14">
        <v>8197</v>
      </c>
      <c r="B6">
        <v>50</v>
      </c>
      <c r="C6" s="4">
        <v>0.37059999999999998</v>
      </c>
      <c r="D6" s="2">
        <v>18.53</v>
      </c>
      <c r="E6" t="s">
        <v>129</v>
      </c>
      <c r="F6" t="s">
        <v>12</v>
      </c>
      <c r="G6" t="str">
        <f>IF(F6="Digi-Key","http://www.digikey.com/products/en?keywords="&amp;E6,"http://www.mouser.com/search/ProductDetail.aspx?R=0virtualkey0virtualkey"&amp;A6)</f>
        <v>http://www.digikey.com/products/en?keywords=36-8197-ND</v>
      </c>
    </row>
    <row r="7" spans="1:7">
      <c r="A7" s="14">
        <v>8197</v>
      </c>
      <c r="B7">
        <v>50</v>
      </c>
      <c r="C7" s="4">
        <v>0.376</v>
      </c>
      <c r="D7" s="2">
        <f>C7*B7</f>
        <v>18.8</v>
      </c>
      <c r="E7" t="s">
        <v>132</v>
      </c>
      <c r="F7" t="s">
        <v>104</v>
      </c>
      <c r="G7" t="s">
        <v>133</v>
      </c>
    </row>
    <row r="8" spans="1:7">
      <c r="A8" s="14">
        <v>8197</v>
      </c>
      <c r="B8">
        <v>100</v>
      </c>
      <c r="C8" s="4">
        <v>0.35510000000000003</v>
      </c>
      <c r="D8" s="2">
        <v>35.51</v>
      </c>
      <c r="E8" t="s">
        <v>129</v>
      </c>
      <c r="F8" t="s">
        <v>12</v>
      </c>
      <c r="G8" t="str">
        <f>IF(F8="Digi-Key","http://www.digikey.com/products/en?keywords="&amp;E8,"http://www.mouser.com/search/ProductDetail.aspx?R=0virtualkey0virtualkey"&amp;A8)</f>
        <v>http://www.digikey.com/products/en?keywords=36-8197-ND</v>
      </c>
    </row>
    <row r="9" spans="1:7">
      <c r="A9" s="14">
        <v>8197</v>
      </c>
      <c r="B9">
        <v>100</v>
      </c>
      <c r="C9" s="4">
        <v>0.36</v>
      </c>
      <c r="D9" s="2">
        <f>C9*B9</f>
        <v>36</v>
      </c>
      <c r="E9" t="s">
        <v>132</v>
      </c>
      <c r="F9" t="s">
        <v>104</v>
      </c>
      <c r="G9" t="s">
        <v>133</v>
      </c>
    </row>
    <row r="10" spans="1:7">
      <c r="A10" s="14">
        <v>8197</v>
      </c>
      <c r="B10">
        <v>200</v>
      </c>
      <c r="C10" s="4">
        <v>0.32900000000000001</v>
      </c>
      <c r="D10" s="2">
        <f>C10*B10</f>
        <v>65.8</v>
      </c>
      <c r="E10" t="s">
        <v>132</v>
      </c>
      <c r="F10" t="s">
        <v>104</v>
      </c>
      <c r="G10" t="s">
        <v>133</v>
      </c>
    </row>
    <row r="11" spans="1:7">
      <c r="A11" s="14">
        <v>8197</v>
      </c>
      <c r="B11">
        <v>250</v>
      </c>
      <c r="C11" s="4">
        <v>0.32423999999999997</v>
      </c>
      <c r="D11" s="2">
        <v>81.06</v>
      </c>
      <c r="E11" t="s">
        <v>129</v>
      </c>
      <c r="F11" t="s">
        <v>12</v>
      </c>
      <c r="G11" t="str">
        <f>IF(F11="Digi-Key","http://www.digikey.com/products/en?keywords="&amp;E11,"http://www.mouser.com/search/ProductDetail.aspx?R=0virtualkey0virtualkey"&amp;A11)</f>
        <v>http://www.digikey.com/products/en?keywords=36-8197-ND</v>
      </c>
    </row>
    <row r="12" spans="1:7">
      <c r="A12" s="14">
        <v>8197</v>
      </c>
      <c r="B12">
        <v>500</v>
      </c>
      <c r="C12" s="4">
        <v>0.30880000000000002</v>
      </c>
      <c r="D12" s="2">
        <v>154.4</v>
      </c>
      <c r="E12" t="s">
        <v>129</v>
      </c>
      <c r="F12" t="s">
        <v>12</v>
      </c>
      <c r="G12" t="str">
        <f>IF(F12="Digi-Key","http://www.digikey.com/products/en?keywords="&amp;E12,"http://www.mouser.com/search/ProductDetail.aspx?R=0virtualkey0virtualkey"&amp;A12)</f>
        <v>http://www.digikey.com/products/en?keywords=36-8197-ND</v>
      </c>
    </row>
    <row r="13" spans="1:7">
      <c r="A13" s="14">
        <v>8197</v>
      </c>
      <c r="B13">
        <v>500</v>
      </c>
      <c r="C13" s="4">
        <v>0.313</v>
      </c>
      <c r="D13" s="2">
        <f>C13*B13</f>
        <v>156.5</v>
      </c>
      <c r="E13" t="s">
        <v>132</v>
      </c>
      <c r="F13" t="s">
        <v>104</v>
      </c>
      <c r="G13" t="s">
        <v>133</v>
      </c>
    </row>
    <row r="14" spans="1:7">
      <c r="A14" s="14">
        <v>8197</v>
      </c>
      <c r="B14" s="3">
        <v>1000</v>
      </c>
      <c r="C14" s="4">
        <v>0.25921</v>
      </c>
      <c r="D14" s="2">
        <v>259.20999999999998</v>
      </c>
      <c r="E14" t="s">
        <v>129</v>
      </c>
      <c r="F14" t="s">
        <v>12</v>
      </c>
      <c r="G14" t="str">
        <f>IF(F14="Digi-Key","http://www.digikey.com/products/en?keywords="&amp;E14,"http://www.mouser.com/search/ProductDetail.aspx?R=0virtualkey0virtualkey"&amp;A14)</f>
        <v>http://www.digikey.com/products/en?keywords=36-8197-ND</v>
      </c>
    </row>
    <row r="15" spans="1:7">
      <c r="A15" s="14">
        <v>8197</v>
      </c>
      <c r="B15" s="3">
        <v>1000</v>
      </c>
      <c r="C15" s="4">
        <v>0.26</v>
      </c>
      <c r="D15" s="2">
        <f>C15*B15</f>
        <v>260</v>
      </c>
      <c r="E15" t="s">
        <v>132</v>
      </c>
      <c r="F15" t="s">
        <v>104</v>
      </c>
      <c r="G15" t="s">
        <v>133</v>
      </c>
    </row>
    <row r="16" spans="1:7">
      <c r="A16" s="14">
        <v>8197</v>
      </c>
      <c r="B16" s="3">
        <v>2500</v>
      </c>
      <c r="C16" s="4">
        <v>0.2316</v>
      </c>
      <c r="D16" s="2">
        <v>579</v>
      </c>
      <c r="E16" t="s">
        <v>129</v>
      </c>
      <c r="F16" t="s">
        <v>12</v>
      </c>
      <c r="G16" t="str">
        <f>IF(F16="Digi-Key","http://www.digikey.com/products/en?keywords="&amp;E16,"http://www.mouser.com/search/ProductDetail.aspx?R=0virtualkey0virtualkey"&amp;A16)</f>
        <v>http://www.digikey.com/products/en?keywords=36-8197-ND</v>
      </c>
    </row>
    <row r="17" spans="1:7">
      <c r="A17" s="14">
        <v>8197</v>
      </c>
      <c r="B17" s="3">
        <v>2500</v>
      </c>
      <c r="C17" s="4">
        <v>0.23400000000000001</v>
      </c>
      <c r="D17" s="2">
        <f>C17*B17</f>
        <v>585</v>
      </c>
      <c r="E17" t="s">
        <v>132</v>
      </c>
      <c r="F17" t="s">
        <v>104</v>
      </c>
      <c r="G17" t="s">
        <v>133</v>
      </c>
    </row>
    <row r="18" spans="1:7">
      <c r="A18" s="14">
        <v>8197</v>
      </c>
      <c r="B18" s="3">
        <v>5000</v>
      </c>
      <c r="C18" s="4">
        <v>0.22388</v>
      </c>
      <c r="D18" s="2">
        <v>1119.4000000000001</v>
      </c>
      <c r="E18" t="s">
        <v>129</v>
      </c>
      <c r="F18" t="s">
        <v>12</v>
      </c>
      <c r="G18" t="str">
        <f>IF(F18="Digi-Key","http://www.digikey.com/products/en?keywords="&amp;E18,"http://www.mouser.com/search/ProductDetail.aspx?R=0virtualkey0virtualkey"&amp;A18)</f>
        <v>http://www.digikey.com/products/en?keywords=36-8197-ND</v>
      </c>
    </row>
    <row r="19" spans="1:7">
      <c r="A19" s="14">
        <v>8197</v>
      </c>
      <c r="B19" s="3">
        <v>5000</v>
      </c>
      <c r="C19" s="4">
        <v>0.22700000000000001</v>
      </c>
      <c r="D19" s="2">
        <f>C19*B19</f>
        <v>1135</v>
      </c>
      <c r="E19" t="s">
        <v>132</v>
      </c>
      <c r="F19" t="s">
        <v>104</v>
      </c>
      <c r="G19" t="s">
        <v>133</v>
      </c>
    </row>
    <row r="20" spans="1:7">
      <c r="A20" s="14" t="s">
        <v>53</v>
      </c>
      <c r="B20">
        <v>1</v>
      </c>
      <c r="C20" s="4">
        <v>0.49</v>
      </c>
      <c r="D20" s="2">
        <v>0.49</v>
      </c>
      <c r="E20" t="s">
        <v>32</v>
      </c>
      <c r="F20" t="s">
        <v>12</v>
      </c>
      <c r="G20" t="str">
        <f t="shared" ref="G20:G51" si="0">IF(F20="Digi-Key","http://www.digikey.com/products/en?keywords="&amp;E20,"http://www.mouser.com/search/ProductDetail.aspx?R=0virtualkey0virtualkey"&amp;A20)</f>
        <v>http://www.digikey.com/products/en?keywords=WM17449-ND</v>
      </c>
    </row>
    <row r="21" spans="1:7">
      <c r="A21" s="15" t="s">
        <v>53</v>
      </c>
      <c r="B21" s="3">
        <v>1</v>
      </c>
      <c r="C21" s="4">
        <v>0.46</v>
      </c>
      <c r="D21" s="2">
        <f>C21*B21</f>
        <v>0.46</v>
      </c>
      <c r="E21" t="s">
        <v>109</v>
      </c>
      <c r="F21" t="s">
        <v>104</v>
      </c>
      <c r="G21" t="str">
        <f t="shared" si="0"/>
        <v>http://www.mouser.com/search/ProductDetail.aspx?R=0virtualkey0virtualkey15912060</v>
      </c>
    </row>
    <row r="22" spans="1:7">
      <c r="A22" s="14" t="s">
        <v>53</v>
      </c>
      <c r="B22">
        <v>10</v>
      </c>
      <c r="C22" s="4">
        <v>0.46</v>
      </c>
      <c r="D22" s="2">
        <v>4.5999999999999996</v>
      </c>
      <c r="E22" t="s">
        <v>32</v>
      </c>
      <c r="F22" t="s">
        <v>12</v>
      </c>
      <c r="G22" t="str">
        <f t="shared" si="0"/>
        <v>http://www.digikey.com/products/en?keywords=WM17449-ND</v>
      </c>
    </row>
    <row r="23" spans="1:7">
      <c r="A23" s="15" t="s">
        <v>53</v>
      </c>
      <c r="B23" s="3">
        <v>10</v>
      </c>
      <c r="C23" s="4">
        <v>0.36799999999999999</v>
      </c>
      <c r="D23" s="2">
        <f>C23*B23</f>
        <v>3.6799999999999997</v>
      </c>
      <c r="E23" t="s">
        <v>109</v>
      </c>
      <c r="F23" t="s">
        <v>104</v>
      </c>
      <c r="G23" t="str">
        <f t="shared" si="0"/>
        <v>http://www.mouser.com/search/ProductDetail.aspx?R=0virtualkey0virtualkey15912060</v>
      </c>
    </row>
    <row r="24" spans="1:7">
      <c r="A24" s="14" t="s">
        <v>53</v>
      </c>
      <c r="B24">
        <v>25</v>
      </c>
      <c r="C24" s="4">
        <v>0.41399999999999998</v>
      </c>
      <c r="D24" s="2">
        <v>10.35</v>
      </c>
      <c r="E24" t="s">
        <v>32</v>
      </c>
      <c r="F24" t="s">
        <v>12</v>
      </c>
      <c r="G24" t="str">
        <f t="shared" si="0"/>
        <v>http://www.digikey.com/products/en?keywords=WM17449-ND</v>
      </c>
    </row>
    <row r="25" spans="1:7">
      <c r="A25" s="14" t="s">
        <v>53</v>
      </c>
      <c r="B25">
        <v>50</v>
      </c>
      <c r="C25" s="4">
        <v>0.36799999999999999</v>
      </c>
      <c r="D25" s="2">
        <v>18.399999999999999</v>
      </c>
      <c r="E25" t="s">
        <v>32</v>
      </c>
      <c r="F25" t="s">
        <v>12</v>
      </c>
      <c r="G25" t="str">
        <f t="shared" si="0"/>
        <v>http://www.digikey.com/products/en?keywords=WM17449-ND</v>
      </c>
    </row>
    <row r="26" spans="1:7">
      <c r="A26" s="14" t="s">
        <v>53</v>
      </c>
      <c r="B26">
        <v>100</v>
      </c>
      <c r="C26" s="4">
        <v>0.35260000000000002</v>
      </c>
      <c r="D26" s="2">
        <v>35.26</v>
      </c>
      <c r="E26" t="s">
        <v>32</v>
      </c>
      <c r="F26" t="s">
        <v>12</v>
      </c>
      <c r="G26" t="str">
        <f t="shared" si="0"/>
        <v>http://www.digikey.com/products/en?keywords=WM17449-ND</v>
      </c>
    </row>
    <row r="27" spans="1:7">
      <c r="A27" s="15" t="s">
        <v>53</v>
      </c>
      <c r="B27" s="3">
        <v>100</v>
      </c>
      <c r="C27" s="4">
        <v>0.32200000000000001</v>
      </c>
      <c r="D27" s="2">
        <f>C27*B27</f>
        <v>32.200000000000003</v>
      </c>
      <c r="E27" t="s">
        <v>109</v>
      </c>
      <c r="F27" t="s">
        <v>104</v>
      </c>
      <c r="G27" t="str">
        <f t="shared" si="0"/>
        <v>http://www.mouser.com/search/ProductDetail.aspx?R=0virtualkey0virtualkey15912060</v>
      </c>
    </row>
    <row r="28" spans="1:7">
      <c r="A28" s="14" t="s">
        <v>53</v>
      </c>
      <c r="B28">
        <v>250</v>
      </c>
      <c r="C28" s="4">
        <v>0.32191999999999998</v>
      </c>
      <c r="D28" s="2">
        <v>80.48</v>
      </c>
      <c r="E28" t="s">
        <v>32</v>
      </c>
      <c r="F28" t="s">
        <v>12</v>
      </c>
      <c r="G28" t="str">
        <f t="shared" si="0"/>
        <v>http://www.digikey.com/products/en?keywords=WM17449-ND</v>
      </c>
    </row>
    <row r="29" spans="1:7">
      <c r="A29" s="14" t="s">
        <v>53</v>
      </c>
      <c r="B29">
        <v>500</v>
      </c>
      <c r="C29" s="4">
        <v>0.30659999999999998</v>
      </c>
      <c r="D29" s="2">
        <v>153.30000000000001</v>
      </c>
      <c r="E29" t="s">
        <v>32</v>
      </c>
      <c r="F29" t="s">
        <v>12</v>
      </c>
      <c r="G29" t="str">
        <f t="shared" si="0"/>
        <v>http://www.digikey.com/products/en?keywords=WM17449-ND</v>
      </c>
    </row>
    <row r="30" spans="1:7">
      <c r="A30" s="15" t="s">
        <v>53</v>
      </c>
      <c r="B30">
        <v>500</v>
      </c>
      <c r="C30" s="4">
        <v>0.253</v>
      </c>
      <c r="D30" s="2">
        <f>C30*B30</f>
        <v>126.5</v>
      </c>
      <c r="E30" t="s">
        <v>109</v>
      </c>
      <c r="F30" t="s">
        <v>104</v>
      </c>
      <c r="G30" t="str">
        <f t="shared" si="0"/>
        <v>http://www.mouser.com/search/ProductDetail.aspx?R=0virtualkey0virtualkey15912060</v>
      </c>
    </row>
    <row r="31" spans="1:7">
      <c r="A31" s="14" t="s">
        <v>53</v>
      </c>
      <c r="B31" s="3">
        <v>1000</v>
      </c>
      <c r="C31" s="4">
        <v>0.25295000000000001</v>
      </c>
      <c r="D31" s="2">
        <v>252.95</v>
      </c>
      <c r="E31" t="s">
        <v>32</v>
      </c>
      <c r="F31" t="s">
        <v>12</v>
      </c>
      <c r="G31" t="str">
        <f t="shared" si="0"/>
        <v>http://www.digikey.com/products/en?keywords=WM17449-ND</v>
      </c>
    </row>
    <row r="32" spans="1:7">
      <c r="A32" s="15" t="s">
        <v>53</v>
      </c>
      <c r="B32" s="3">
        <v>1000</v>
      </c>
      <c r="C32" s="4">
        <v>0.23</v>
      </c>
      <c r="D32" s="2">
        <f>C32*B32</f>
        <v>230</v>
      </c>
      <c r="E32" t="s">
        <v>109</v>
      </c>
      <c r="F32" t="s">
        <v>104</v>
      </c>
      <c r="G32" t="str">
        <f t="shared" si="0"/>
        <v>http://www.mouser.com/search/ProductDetail.aspx?R=0virtualkey0virtualkey15912060</v>
      </c>
    </row>
    <row r="33" spans="1:7">
      <c r="A33" s="14" t="s">
        <v>53</v>
      </c>
      <c r="B33" s="3">
        <v>2500</v>
      </c>
      <c r="C33" s="4">
        <v>0.22994999999999999</v>
      </c>
      <c r="D33" s="2">
        <v>574.88</v>
      </c>
      <c r="E33" t="s">
        <v>32</v>
      </c>
      <c r="F33" t="s">
        <v>12</v>
      </c>
      <c r="G33" t="str">
        <f t="shared" si="0"/>
        <v>http://www.digikey.com/products/en?keywords=WM17449-ND</v>
      </c>
    </row>
    <row r="34" spans="1:7">
      <c r="A34" s="15" t="s">
        <v>53</v>
      </c>
      <c r="B34" s="3">
        <v>3000</v>
      </c>
      <c r="C34" s="4">
        <v>0.222</v>
      </c>
      <c r="D34" s="2">
        <f>C34*B34</f>
        <v>666</v>
      </c>
      <c r="E34" t="s">
        <v>109</v>
      </c>
      <c r="F34" t="s">
        <v>104</v>
      </c>
      <c r="G34" t="str">
        <f t="shared" si="0"/>
        <v>http://www.mouser.com/search/ProductDetail.aspx?R=0virtualkey0virtualkey15912060</v>
      </c>
    </row>
    <row r="35" spans="1:7">
      <c r="A35" s="15" t="s">
        <v>53</v>
      </c>
      <c r="B35" s="3">
        <v>6000</v>
      </c>
      <c r="C35" s="4">
        <v>0.215</v>
      </c>
      <c r="D35" s="2">
        <f>C35*B35</f>
        <v>1290</v>
      </c>
      <c r="E35" t="s">
        <v>109</v>
      </c>
      <c r="F35" t="s">
        <v>104</v>
      </c>
      <c r="G35" t="str">
        <f t="shared" si="0"/>
        <v>http://www.mouser.com/search/ProductDetail.aspx?R=0virtualkey0virtualkey15912060</v>
      </c>
    </row>
    <row r="36" spans="1:7">
      <c r="A36" s="15" t="s">
        <v>53</v>
      </c>
      <c r="B36" s="3">
        <v>9000</v>
      </c>
      <c r="C36" s="4">
        <v>0.20699999999999999</v>
      </c>
      <c r="D36" s="2">
        <f>C36*B36</f>
        <v>1863</v>
      </c>
      <c r="E36" t="s">
        <v>109</v>
      </c>
      <c r="F36" t="s">
        <v>104</v>
      </c>
      <c r="G36" t="str">
        <f t="shared" si="0"/>
        <v>http://www.mouser.com/search/ProductDetail.aspx?R=0virtualkey0virtualkey15912060</v>
      </c>
    </row>
    <row r="37" spans="1:7">
      <c r="A37" s="15" t="s">
        <v>53</v>
      </c>
      <c r="B37" s="3">
        <v>24000</v>
      </c>
      <c r="C37" s="4">
        <v>0.19900000000000001</v>
      </c>
      <c r="D37" s="2">
        <f>C37*B37</f>
        <v>4776</v>
      </c>
      <c r="E37" t="s">
        <v>109</v>
      </c>
      <c r="F37" t="s">
        <v>104</v>
      </c>
      <c r="G37" t="str">
        <f t="shared" si="0"/>
        <v>http://www.mouser.com/search/ProductDetail.aspx?R=0virtualkey0virtualkey15912060</v>
      </c>
    </row>
    <row r="38" spans="1:7">
      <c r="A38" s="14" t="s">
        <v>54</v>
      </c>
      <c r="B38">
        <v>1</v>
      </c>
      <c r="C38" s="4">
        <v>0.22</v>
      </c>
      <c r="D38" s="2">
        <v>0.22</v>
      </c>
      <c r="E38" t="s">
        <v>51</v>
      </c>
      <c r="F38" t="s">
        <v>12</v>
      </c>
      <c r="G38" t="str">
        <f t="shared" si="0"/>
        <v>http://www.digikey.com/products/en?keywords=36-4966-ND</v>
      </c>
    </row>
    <row r="39" spans="1:7">
      <c r="A39" s="15" t="s">
        <v>54</v>
      </c>
      <c r="B39">
        <v>1</v>
      </c>
      <c r="C39" s="4">
        <v>0.2</v>
      </c>
      <c r="D39" s="2">
        <f>C39*B39</f>
        <v>0.2</v>
      </c>
      <c r="E39" t="s">
        <v>114</v>
      </c>
      <c r="F39" t="s">
        <v>104</v>
      </c>
      <c r="G39" t="str">
        <f t="shared" si="0"/>
        <v>http://www.mouser.com/search/ProductDetail.aspx?R=0virtualkey0virtualkey4966</v>
      </c>
    </row>
    <row r="40" spans="1:7">
      <c r="A40" s="14" t="s">
        <v>54</v>
      </c>
      <c r="B40">
        <v>10</v>
      </c>
      <c r="C40" s="4">
        <v>0.20599999999999999</v>
      </c>
      <c r="D40" s="2">
        <v>2.06</v>
      </c>
      <c r="E40" t="s">
        <v>51</v>
      </c>
      <c r="F40" t="s">
        <v>12</v>
      </c>
      <c r="G40" t="str">
        <f t="shared" si="0"/>
        <v>http://www.digikey.com/products/en?keywords=36-4966-ND</v>
      </c>
    </row>
    <row r="41" spans="1:7">
      <c r="A41" s="15" t="s">
        <v>54</v>
      </c>
      <c r="B41">
        <v>10</v>
      </c>
      <c r="C41" s="4">
        <v>0.19400000000000001</v>
      </c>
      <c r="D41" s="2">
        <f>C41*B41</f>
        <v>1.94</v>
      </c>
      <c r="E41" t="s">
        <v>114</v>
      </c>
      <c r="F41" t="s">
        <v>104</v>
      </c>
      <c r="G41" t="str">
        <f t="shared" si="0"/>
        <v>http://www.mouser.com/search/ProductDetail.aspx?R=0virtualkey0virtualkey4966</v>
      </c>
    </row>
    <row r="42" spans="1:7">
      <c r="A42" s="15" t="s">
        <v>54</v>
      </c>
      <c r="B42">
        <v>25</v>
      </c>
      <c r="C42" s="4">
        <v>0.14599999999999999</v>
      </c>
      <c r="D42" s="2">
        <f>C42*B42</f>
        <v>3.65</v>
      </c>
      <c r="E42" t="s">
        <v>114</v>
      </c>
      <c r="F42" t="s">
        <v>104</v>
      </c>
      <c r="G42" t="str">
        <f t="shared" si="0"/>
        <v>http://www.mouser.com/search/ProductDetail.aspx?R=0virtualkey0virtualkey4966</v>
      </c>
    </row>
    <row r="43" spans="1:7">
      <c r="A43" s="14" t="s">
        <v>54</v>
      </c>
      <c r="B43">
        <v>50</v>
      </c>
      <c r="C43" s="4">
        <v>0.16900000000000001</v>
      </c>
      <c r="D43" s="2">
        <v>8.4499999999999993</v>
      </c>
      <c r="E43" t="s">
        <v>51</v>
      </c>
      <c r="F43" t="s">
        <v>12</v>
      </c>
      <c r="G43" t="str">
        <f t="shared" si="0"/>
        <v>http://www.digikey.com/products/en?keywords=36-4966-ND</v>
      </c>
    </row>
    <row r="44" spans="1:7">
      <c r="A44" s="14" t="s">
        <v>54</v>
      </c>
      <c r="B44">
        <v>100</v>
      </c>
      <c r="C44" s="4">
        <v>0.1431</v>
      </c>
      <c r="D44" s="2">
        <v>14.31</v>
      </c>
      <c r="E44" t="s">
        <v>51</v>
      </c>
      <c r="F44" t="s">
        <v>12</v>
      </c>
      <c r="G44" t="str">
        <f t="shared" si="0"/>
        <v>http://www.digikey.com/products/en?keywords=36-4966-ND</v>
      </c>
    </row>
    <row r="45" spans="1:7">
      <c r="A45" s="15" t="s">
        <v>54</v>
      </c>
      <c r="B45">
        <v>100</v>
      </c>
      <c r="C45" s="4">
        <v>0.13500000000000001</v>
      </c>
      <c r="D45" s="2">
        <f>C45*B45</f>
        <v>13.5</v>
      </c>
      <c r="E45" t="s">
        <v>114</v>
      </c>
      <c r="F45" t="s">
        <v>104</v>
      </c>
      <c r="G45" t="str">
        <f t="shared" si="0"/>
        <v>http://www.mouser.com/search/ProductDetail.aspx?R=0virtualkey0virtualkey4966</v>
      </c>
    </row>
    <row r="46" spans="1:7">
      <c r="A46" s="14" t="s">
        <v>54</v>
      </c>
      <c r="B46">
        <v>250</v>
      </c>
      <c r="C46" s="4">
        <v>0.12659999999999999</v>
      </c>
      <c r="D46" s="2">
        <v>31.65</v>
      </c>
      <c r="E46" t="s">
        <v>51</v>
      </c>
      <c r="F46" t="s">
        <v>12</v>
      </c>
      <c r="G46" t="str">
        <f t="shared" si="0"/>
        <v>http://www.digikey.com/products/en?keywords=36-4966-ND</v>
      </c>
    </row>
    <row r="47" spans="1:7">
      <c r="A47" s="15" t="s">
        <v>54</v>
      </c>
      <c r="B47">
        <v>250</v>
      </c>
      <c r="C47" s="4">
        <v>0.11899999999999999</v>
      </c>
      <c r="D47" s="2">
        <f>C47*B47</f>
        <v>29.75</v>
      </c>
      <c r="E47" t="s">
        <v>114</v>
      </c>
      <c r="F47" t="s">
        <v>104</v>
      </c>
      <c r="G47" t="str">
        <f t="shared" si="0"/>
        <v>http://www.mouser.com/search/ProductDetail.aspx?R=0virtualkey0virtualkey4966</v>
      </c>
    </row>
    <row r="48" spans="1:7">
      <c r="A48" s="14" t="s">
        <v>54</v>
      </c>
      <c r="B48">
        <v>500</v>
      </c>
      <c r="C48" s="4">
        <v>0.12112000000000001</v>
      </c>
      <c r="D48" s="2">
        <v>60.56</v>
      </c>
      <c r="E48" t="s">
        <v>51</v>
      </c>
      <c r="F48" t="s">
        <v>12</v>
      </c>
      <c r="G48" t="str">
        <f t="shared" si="0"/>
        <v>http://www.digikey.com/products/en?keywords=36-4966-ND</v>
      </c>
    </row>
    <row r="49" spans="1:7">
      <c r="A49" s="15" t="s">
        <v>54</v>
      </c>
      <c r="B49">
        <v>500</v>
      </c>
      <c r="C49" s="4">
        <v>0.114</v>
      </c>
      <c r="D49" s="2">
        <f>C49*B49</f>
        <v>57</v>
      </c>
      <c r="E49" t="s">
        <v>114</v>
      </c>
      <c r="F49" t="s">
        <v>104</v>
      </c>
      <c r="G49" t="str">
        <f t="shared" si="0"/>
        <v>http://www.mouser.com/search/ProductDetail.aspx?R=0virtualkey0virtualkey4966</v>
      </c>
    </row>
    <row r="50" spans="1:7">
      <c r="A50" s="14" t="s">
        <v>54</v>
      </c>
      <c r="B50" s="3">
        <v>1000</v>
      </c>
      <c r="C50" s="4">
        <v>9.9089999999999998E-2</v>
      </c>
      <c r="D50" s="2">
        <v>99.09</v>
      </c>
      <c r="E50" t="s">
        <v>51</v>
      </c>
      <c r="F50" t="s">
        <v>12</v>
      </c>
      <c r="G50" t="str">
        <f t="shared" si="0"/>
        <v>http://www.digikey.com/products/en?keywords=36-4966-ND</v>
      </c>
    </row>
    <row r="51" spans="1:7">
      <c r="A51" s="15" t="s">
        <v>54</v>
      </c>
      <c r="B51" s="3">
        <v>1000</v>
      </c>
      <c r="C51" s="4">
        <v>9.2999999999999999E-2</v>
      </c>
      <c r="D51" s="2">
        <f>C51*B51</f>
        <v>93</v>
      </c>
      <c r="E51" t="s">
        <v>114</v>
      </c>
      <c r="F51" t="s">
        <v>104</v>
      </c>
      <c r="G51" t="str">
        <f t="shared" si="0"/>
        <v>http://www.mouser.com/search/ProductDetail.aspx?R=0virtualkey0virtualkey4966</v>
      </c>
    </row>
    <row r="52" spans="1:7">
      <c r="A52" s="14" t="s">
        <v>54</v>
      </c>
      <c r="B52" s="3">
        <v>2500</v>
      </c>
      <c r="C52" s="4">
        <v>9.0829999999999994E-2</v>
      </c>
      <c r="D52" s="2">
        <v>227.08</v>
      </c>
      <c r="E52" t="s">
        <v>51</v>
      </c>
      <c r="F52" t="s">
        <v>12</v>
      </c>
      <c r="G52" t="str">
        <f t="shared" ref="G52:G83" si="1">IF(F52="Digi-Key","http://www.digikey.com/products/en?keywords="&amp;E52,"http://www.mouser.com/search/ProductDetail.aspx?R=0virtualkey0virtualkey"&amp;A52)</f>
        <v>http://www.digikey.com/products/en?keywords=36-4966-ND</v>
      </c>
    </row>
    <row r="53" spans="1:7">
      <c r="A53" s="15" t="s">
        <v>54</v>
      </c>
      <c r="B53" s="3">
        <v>2500</v>
      </c>
      <c r="C53" s="4">
        <v>8.5000000000000006E-2</v>
      </c>
      <c r="D53" s="2">
        <f>C53*B53</f>
        <v>212.50000000000003</v>
      </c>
      <c r="E53" t="s">
        <v>114</v>
      </c>
      <c r="F53" t="s">
        <v>104</v>
      </c>
      <c r="G53" t="str">
        <f t="shared" si="1"/>
        <v>http://www.mouser.com/search/ProductDetail.aspx?R=0virtualkey0virtualkey4966</v>
      </c>
    </row>
    <row r="54" spans="1:7">
      <c r="A54" s="14" t="s">
        <v>54</v>
      </c>
      <c r="B54" s="3">
        <v>5000</v>
      </c>
      <c r="C54" s="4">
        <v>8.8080000000000006E-2</v>
      </c>
      <c r="D54" s="2">
        <v>440.4</v>
      </c>
      <c r="E54" t="s">
        <v>51</v>
      </c>
      <c r="F54" t="s">
        <v>12</v>
      </c>
      <c r="G54" t="str">
        <f t="shared" si="1"/>
        <v>http://www.digikey.com/products/en?keywords=36-4966-ND</v>
      </c>
    </row>
    <row r="55" spans="1:7">
      <c r="A55" s="15" t="s">
        <v>54</v>
      </c>
      <c r="B55" s="3">
        <v>5000</v>
      </c>
      <c r="C55" s="4">
        <v>8.3000000000000004E-2</v>
      </c>
      <c r="D55" s="2">
        <f>C55*B55</f>
        <v>415</v>
      </c>
      <c r="E55" t="s">
        <v>114</v>
      </c>
      <c r="F55" t="s">
        <v>104</v>
      </c>
      <c r="G55" t="str">
        <f t="shared" si="1"/>
        <v>http://www.mouser.com/search/ProductDetail.aspx?R=0virtualkey0virtualkey4966</v>
      </c>
    </row>
    <row r="56" spans="1:7">
      <c r="A56" s="14" t="s">
        <v>34</v>
      </c>
      <c r="B56">
        <v>1</v>
      </c>
      <c r="C56" s="4">
        <v>0.1</v>
      </c>
      <c r="D56" s="2">
        <v>0.1</v>
      </c>
      <c r="E56" t="s">
        <v>36</v>
      </c>
      <c r="F56" t="s">
        <v>12</v>
      </c>
      <c r="G56" t="str">
        <f t="shared" si="1"/>
        <v>http://www.digikey.com/products/en?keywords=3M9580-ND</v>
      </c>
    </row>
    <row r="57" spans="1:7">
      <c r="A57" s="14" t="s">
        <v>34</v>
      </c>
      <c r="B57">
        <v>1</v>
      </c>
      <c r="C57" s="4">
        <v>0.1</v>
      </c>
      <c r="D57" s="2">
        <f>C57*B57</f>
        <v>0.1</v>
      </c>
      <c r="E57" t="s">
        <v>110</v>
      </c>
      <c r="F57" t="s">
        <v>104</v>
      </c>
      <c r="G57" t="str">
        <f t="shared" si="1"/>
        <v>http://www.mouser.com/search/ProductDetail.aspx?R=0virtualkey0virtualkey969102-0000-DA</v>
      </c>
    </row>
    <row r="58" spans="1:7">
      <c r="A58" s="14" t="s">
        <v>34</v>
      </c>
      <c r="B58">
        <v>10</v>
      </c>
      <c r="C58" s="4">
        <v>9.4E-2</v>
      </c>
      <c r="D58" s="2">
        <v>0.94</v>
      </c>
      <c r="E58" t="s">
        <v>36</v>
      </c>
      <c r="F58" t="s">
        <v>12</v>
      </c>
      <c r="G58" t="str">
        <f t="shared" si="1"/>
        <v>http://www.digikey.com/products/en?keywords=3M9580-ND</v>
      </c>
    </row>
    <row r="59" spans="1:7">
      <c r="A59" s="14" t="s">
        <v>34</v>
      </c>
      <c r="B59">
        <v>25</v>
      </c>
      <c r="C59" s="4">
        <v>7.0000000000000007E-2</v>
      </c>
      <c r="D59" s="2">
        <v>1.75</v>
      </c>
      <c r="E59" t="s">
        <v>36</v>
      </c>
      <c r="F59" t="s">
        <v>12</v>
      </c>
      <c r="G59" t="str">
        <f t="shared" si="1"/>
        <v>http://www.digikey.com/products/en?keywords=3M9580-ND</v>
      </c>
    </row>
    <row r="60" spans="1:7">
      <c r="A60" s="14" t="s">
        <v>34</v>
      </c>
      <c r="B60">
        <v>50</v>
      </c>
      <c r="C60" s="4">
        <v>0.06</v>
      </c>
      <c r="D60" s="2">
        <v>3</v>
      </c>
      <c r="E60" t="s">
        <v>36</v>
      </c>
      <c r="F60" t="s">
        <v>12</v>
      </c>
      <c r="G60" t="str">
        <f t="shared" si="1"/>
        <v>http://www.digikey.com/products/en?keywords=3M9580-ND</v>
      </c>
    </row>
    <row r="61" spans="1:7">
      <c r="A61" s="14" t="s">
        <v>34</v>
      </c>
      <c r="B61">
        <v>100</v>
      </c>
      <c r="C61" s="4">
        <v>5.8000000000000003E-2</v>
      </c>
      <c r="D61" s="2">
        <v>5.8</v>
      </c>
      <c r="E61" t="s">
        <v>36</v>
      </c>
      <c r="F61" t="s">
        <v>12</v>
      </c>
      <c r="G61" t="str">
        <f t="shared" si="1"/>
        <v>http://www.digikey.com/products/en?keywords=3M9580-ND</v>
      </c>
    </row>
    <row r="62" spans="1:7">
      <c r="A62" s="14" t="s">
        <v>34</v>
      </c>
      <c r="B62">
        <v>100</v>
      </c>
      <c r="C62" s="4">
        <v>0.05</v>
      </c>
      <c r="D62" s="2">
        <f>C62*B62</f>
        <v>5</v>
      </c>
      <c r="E62" t="s">
        <v>110</v>
      </c>
      <c r="F62" t="s">
        <v>104</v>
      </c>
      <c r="G62" t="str">
        <f t="shared" si="1"/>
        <v>http://www.mouser.com/search/ProductDetail.aspx?R=0virtualkey0virtualkey969102-0000-DA</v>
      </c>
    </row>
    <row r="63" spans="1:7">
      <c r="A63" s="14" t="s">
        <v>34</v>
      </c>
      <c r="B63">
        <v>250</v>
      </c>
      <c r="C63" s="4">
        <v>0.05</v>
      </c>
      <c r="D63" s="2">
        <v>12.5</v>
      </c>
      <c r="E63" t="s">
        <v>36</v>
      </c>
      <c r="F63" t="s">
        <v>12</v>
      </c>
      <c r="G63" t="str">
        <f t="shared" si="1"/>
        <v>http://www.digikey.com/products/en?keywords=3M9580-ND</v>
      </c>
    </row>
    <row r="64" spans="1:7">
      <c r="A64" s="14" t="s">
        <v>34</v>
      </c>
      <c r="B64">
        <v>500</v>
      </c>
      <c r="C64" s="4">
        <v>4.8000000000000001E-2</v>
      </c>
      <c r="D64" s="2">
        <v>24</v>
      </c>
      <c r="E64" t="s">
        <v>36</v>
      </c>
      <c r="F64" t="s">
        <v>12</v>
      </c>
      <c r="G64" t="str">
        <f t="shared" si="1"/>
        <v>http://www.digikey.com/products/en?keywords=3M9580-ND</v>
      </c>
    </row>
    <row r="65" spans="1:7">
      <c r="A65" s="14" t="s">
        <v>34</v>
      </c>
      <c r="B65">
        <v>500</v>
      </c>
      <c r="C65" s="4">
        <v>4.8000000000000001E-2</v>
      </c>
      <c r="D65" s="2">
        <f>C65*B65</f>
        <v>24</v>
      </c>
      <c r="E65" t="s">
        <v>110</v>
      </c>
      <c r="F65" t="s">
        <v>104</v>
      </c>
      <c r="G65" t="str">
        <f t="shared" si="1"/>
        <v>http://www.mouser.com/search/ProductDetail.aspx?R=0virtualkey0virtualkey969102-0000-DA</v>
      </c>
    </row>
    <row r="66" spans="1:7">
      <c r="A66" s="14" t="s">
        <v>34</v>
      </c>
      <c r="B66" s="3">
        <v>1000</v>
      </c>
      <c r="C66" s="4">
        <v>4.2000000000000003E-2</v>
      </c>
      <c r="D66" s="2">
        <v>42</v>
      </c>
      <c r="E66" t="s">
        <v>36</v>
      </c>
      <c r="F66" t="s">
        <v>12</v>
      </c>
      <c r="G66" t="str">
        <f t="shared" si="1"/>
        <v>http://www.digikey.com/products/en?keywords=3M9580-ND</v>
      </c>
    </row>
    <row r="67" spans="1:7">
      <c r="A67" s="14" t="s">
        <v>34</v>
      </c>
      <c r="B67" s="3">
        <v>1000</v>
      </c>
      <c r="C67" s="4">
        <v>4.2000000000000003E-2</v>
      </c>
      <c r="D67" s="2">
        <f>C67*B67</f>
        <v>42</v>
      </c>
      <c r="E67" t="s">
        <v>110</v>
      </c>
      <c r="F67" t="s">
        <v>104</v>
      </c>
      <c r="G67" t="str">
        <f t="shared" si="1"/>
        <v>http://www.mouser.com/search/ProductDetail.aspx?R=0virtualkey0virtualkey969102-0000-DA</v>
      </c>
    </row>
    <row r="68" spans="1:7">
      <c r="A68" s="14" t="s">
        <v>34</v>
      </c>
      <c r="B68" s="3">
        <v>2000</v>
      </c>
      <c r="C68" s="4">
        <v>3.7999999999999999E-2</v>
      </c>
      <c r="D68" s="2">
        <f>C68*B68</f>
        <v>76</v>
      </c>
      <c r="E68" t="s">
        <v>110</v>
      </c>
      <c r="F68" t="s">
        <v>104</v>
      </c>
      <c r="G68" t="str">
        <f t="shared" si="1"/>
        <v>http://www.mouser.com/search/ProductDetail.aspx?R=0virtualkey0virtualkey969102-0000-DA</v>
      </c>
    </row>
    <row r="69" spans="1:7">
      <c r="A69" s="14" t="s">
        <v>34</v>
      </c>
      <c r="B69" s="3">
        <v>2500</v>
      </c>
      <c r="C69" s="4">
        <v>3.7999999999999999E-2</v>
      </c>
      <c r="D69" s="2">
        <v>95</v>
      </c>
      <c r="E69" t="s">
        <v>36</v>
      </c>
      <c r="F69" t="s">
        <v>12</v>
      </c>
      <c r="G69" t="str">
        <f t="shared" si="1"/>
        <v>http://www.digikey.com/products/en?keywords=3M9580-ND</v>
      </c>
    </row>
    <row r="70" spans="1:7">
      <c r="A70" s="14" t="s">
        <v>34</v>
      </c>
      <c r="B70" s="3">
        <v>5000</v>
      </c>
      <c r="C70" s="4">
        <v>3.6999999999999998E-2</v>
      </c>
      <c r="D70" s="2">
        <f>C70*B70</f>
        <v>185</v>
      </c>
      <c r="E70" t="s">
        <v>110</v>
      </c>
      <c r="F70" t="s">
        <v>104</v>
      </c>
      <c r="G70" t="str">
        <f t="shared" si="1"/>
        <v>http://www.mouser.com/search/ProductDetail.aspx?R=0virtualkey0virtualkey969102-0000-DA</v>
      </c>
    </row>
    <row r="71" spans="1:7">
      <c r="A71" s="14" t="s">
        <v>34</v>
      </c>
      <c r="B71" s="3">
        <v>10000</v>
      </c>
      <c r="C71" s="4">
        <v>3.5999999999999997E-2</v>
      </c>
      <c r="D71" s="2">
        <f>C71*B71</f>
        <v>360</v>
      </c>
      <c r="E71" t="s">
        <v>110</v>
      </c>
      <c r="F71" t="s">
        <v>104</v>
      </c>
      <c r="G71" t="str">
        <f t="shared" si="1"/>
        <v>http://www.mouser.com/search/ProductDetail.aspx?R=0virtualkey0virtualkey969102-0000-DA</v>
      </c>
    </row>
    <row r="72" spans="1:7">
      <c r="A72" s="14" t="s">
        <v>34</v>
      </c>
      <c r="B72" s="3">
        <v>25000</v>
      </c>
      <c r="C72" s="4">
        <v>3.5000000000000003E-2</v>
      </c>
      <c r="D72" s="2">
        <f>C72*B72</f>
        <v>875.00000000000011</v>
      </c>
      <c r="E72" t="s">
        <v>110</v>
      </c>
      <c r="F72" t="s">
        <v>104</v>
      </c>
      <c r="G72" t="str">
        <f t="shared" si="1"/>
        <v>http://www.mouser.com/search/ProductDetail.aspx?R=0virtualkey0virtualkey969102-0000-DA</v>
      </c>
    </row>
    <row r="73" spans="1:7">
      <c r="A73" s="14" t="s">
        <v>34</v>
      </c>
      <c r="B73" s="3">
        <v>50000</v>
      </c>
      <c r="C73" s="4">
        <v>3.4000000000000002E-2</v>
      </c>
      <c r="D73" s="2">
        <f>C73*B73</f>
        <v>1700.0000000000002</v>
      </c>
      <c r="E73" t="s">
        <v>110</v>
      </c>
      <c r="F73" t="s">
        <v>104</v>
      </c>
      <c r="G73" t="str">
        <f t="shared" si="1"/>
        <v>http://www.mouser.com/search/ProductDetail.aspx?R=0virtualkey0virtualkey969102-0000-DA</v>
      </c>
    </row>
    <row r="74" spans="1:7">
      <c r="A74" s="14" t="s">
        <v>27</v>
      </c>
      <c r="B74">
        <v>1</v>
      </c>
      <c r="C74" s="4">
        <v>0.22</v>
      </c>
      <c r="D74" s="2">
        <v>0.22</v>
      </c>
      <c r="E74" t="s">
        <v>29</v>
      </c>
      <c r="F74" t="s">
        <v>12</v>
      </c>
      <c r="G74" t="str">
        <f t="shared" si="1"/>
        <v>http://www.digikey.com/products/en?keywords=CLM1B-AKW-CUAVB253CT-ND</v>
      </c>
    </row>
    <row r="75" spans="1:7">
      <c r="A75" s="14" t="s">
        <v>27</v>
      </c>
      <c r="B75">
        <v>1</v>
      </c>
      <c r="C75" s="4">
        <v>0.2</v>
      </c>
      <c r="D75" s="2">
        <f>C75*B75</f>
        <v>0.2</v>
      </c>
      <c r="E75" t="s">
        <v>108</v>
      </c>
      <c r="F75" t="s">
        <v>104</v>
      </c>
      <c r="G75" t="str">
        <f t="shared" si="1"/>
        <v>http://www.mouser.com/search/ProductDetail.aspx?R=0virtualkey0virtualkeyCLM1B-AKW-CUAVB253</v>
      </c>
    </row>
    <row r="76" spans="1:7">
      <c r="A76" s="14" t="s">
        <v>27</v>
      </c>
      <c r="B76">
        <v>10</v>
      </c>
      <c r="C76" s="4">
        <v>0.187</v>
      </c>
      <c r="D76" s="2">
        <f>C76*B76</f>
        <v>1.87</v>
      </c>
      <c r="E76" t="s">
        <v>108</v>
      </c>
      <c r="F76" t="s">
        <v>104</v>
      </c>
      <c r="G76" t="str">
        <f t="shared" si="1"/>
        <v>http://www.mouser.com/search/ProductDetail.aspx?R=0virtualkey0virtualkeyCLM1B-AKW-CUAVB253</v>
      </c>
    </row>
    <row r="77" spans="1:7">
      <c r="A77" s="14" t="s">
        <v>27</v>
      </c>
      <c r="B77">
        <v>100</v>
      </c>
      <c r="C77" s="4">
        <v>0.1973</v>
      </c>
      <c r="D77" s="2">
        <v>19.73</v>
      </c>
      <c r="E77" t="s">
        <v>29</v>
      </c>
      <c r="F77" t="s">
        <v>12</v>
      </c>
      <c r="G77" t="str">
        <f t="shared" si="1"/>
        <v>http://www.digikey.com/products/en?keywords=CLM1B-AKW-CUAVB253CT-ND</v>
      </c>
    </row>
    <row r="78" spans="1:7">
      <c r="A78" s="14" t="s">
        <v>27</v>
      </c>
      <c r="B78">
        <v>100</v>
      </c>
      <c r="C78" s="4">
        <v>0.16400000000000001</v>
      </c>
      <c r="D78" s="2">
        <f>C78*B78</f>
        <v>16.400000000000002</v>
      </c>
      <c r="E78" t="s">
        <v>108</v>
      </c>
      <c r="F78" t="s">
        <v>104</v>
      </c>
      <c r="G78" t="str">
        <f t="shared" si="1"/>
        <v>http://www.mouser.com/search/ProductDetail.aspx?R=0virtualkey0virtualkeyCLM1B-AKW-CUAVB253</v>
      </c>
    </row>
    <row r="79" spans="1:7">
      <c r="A79" s="14" t="s">
        <v>27</v>
      </c>
      <c r="B79">
        <v>250</v>
      </c>
      <c r="C79" s="4">
        <v>0.1802</v>
      </c>
      <c r="D79" s="2">
        <v>45.05</v>
      </c>
      <c r="E79" t="s">
        <v>29</v>
      </c>
      <c r="F79" t="s">
        <v>12</v>
      </c>
      <c r="G79" t="str">
        <f t="shared" si="1"/>
        <v>http://www.digikey.com/products/en?keywords=CLM1B-AKW-CUAVB253CT-ND</v>
      </c>
    </row>
    <row r="80" spans="1:7">
      <c r="A80" s="14" t="s">
        <v>27</v>
      </c>
      <c r="B80">
        <v>500</v>
      </c>
      <c r="C80" s="4">
        <v>0.16302</v>
      </c>
      <c r="D80" s="2">
        <v>81.510000000000005</v>
      </c>
      <c r="E80" t="s">
        <v>29</v>
      </c>
      <c r="F80" t="s">
        <v>12</v>
      </c>
      <c r="G80" t="str">
        <f t="shared" si="1"/>
        <v>http://www.digikey.com/products/en?keywords=CLM1B-AKW-CUAVB253CT-ND</v>
      </c>
    </row>
    <row r="81" spans="1:7">
      <c r="A81" s="14" t="s">
        <v>27</v>
      </c>
      <c r="B81">
        <v>500</v>
      </c>
      <c r="C81" s="4">
        <v>0.14799999999999999</v>
      </c>
      <c r="D81" s="2">
        <f>C81*B81</f>
        <v>74</v>
      </c>
      <c r="E81" t="s">
        <v>108</v>
      </c>
      <c r="F81" t="s">
        <v>104</v>
      </c>
      <c r="G81" t="str">
        <f t="shared" si="1"/>
        <v>http://www.mouser.com/search/ProductDetail.aspx?R=0virtualkey0virtualkeyCLM1B-AKW-CUAVB253</v>
      </c>
    </row>
    <row r="82" spans="1:7">
      <c r="A82" s="14" t="s">
        <v>27</v>
      </c>
      <c r="B82" s="3">
        <v>1000</v>
      </c>
      <c r="C82" s="4">
        <v>0.14585999999999999</v>
      </c>
      <c r="D82" s="2">
        <v>145.86000000000001</v>
      </c>
      <c r="E82" t="s">
        <v>29</v>
      </c>
      <c r="F82" t="s">
        <v>12</v>
      </c>
      <c r="G82" t="str">
        <f t="shared" si="1"/>
        <v>http://www.digikey.com/products/en?keywords=CLM1B-AKW-CUAVB253CT-ND</v>
      </c>
    </row>
    <row r="83" spans="1:7">
      <c r="A83" s="14" t="s">
        <v>27</v>
      </c>
      <c r="B83" s="3">
        <v>1000</v>
      </c>
      <c r="C83" s="4">
        <v>0.13300000000000001</v>
      </c>
      <c r="D83" s="2">
        <f>C83*B83</f>
        <v>133</v>
      </c>
      <c r="E83" t="s">
        <v>108</v>
      </c>
      <c r="F83" t="s">
        <v>104</v>
      </c>
      <c r="G83" t="str">
        <f t="shared" si="1"/>
        <v>http://www.mouser.com/search/ProductDetail.aspx?R=0virtualkey0virtualkeyCLM1B-AKW-CUAVB253</v>
      </c>
    </row>
    <row r="84" spans="1:7">
      <c r="A84" s="14" t="s">
        <v>27</v>
      </c>
      <c r="B84" s="3">
        <v>2000</v>
      </c>
      <c r="C84" s="4">
        <v>0.11799999999999999</v>
      </c>
      <c r="D84" s="2">
        <f>C84*B84</f>
        <v>236</v>
      </c>
      <c r="E84" t="s">
        <v>108</v>
      </c>
      <c r="F84" t="s">
        <v>104</v>
      </c>
      <c r="G84" t="str">
        <f t="shared" ref="G84:G100" si="2">IF(F84="Digi-Key","http://www.digikey.com/products/en?keywords="&amp;E84,"http://www.mouser.com/search/ProductDetail.aspx?R=0virtualkey0virtualkey"&amp;A84)</f>
        <v>http://www.mouser.com/search/ProductDetail.aspx?R=0virtualkey0virtualkeyCLM1B-AKW-CUAVB253</v>
      </c>
    </row>
    <row r="85" spans="1:7">
      <c r="A85" s="14" t="s">
        <v>27</v>
      </c>
      <c r="B85" s="3">
        <v>10000</v>
      </c>
      <c r="C85" s="4">
        <v>0.11600000000000001</v>
      </c>
      <c r="D85" s="2">
        <f>C85*B85</f>
        <v>1160</v>
      </c>
      <c r="E85" t="s">
        <v>108</v>
      </c>
      <c r="F85" t="s">
        <v>104</v>
      </c>
      <c r="G85" t="str">
        <f t="shared" si="2"/>
        <v>http://www.mouser.com/search/ProductDetail.aspx?R=0virtualkey0virtualkeyCLM1B-AKW-CUAVB253</v>
      </c>
    </row>
    <row r="86" spans="1:7">
      <c r="A86" s="14" t="s">
        <v>27</v>
      </c>
      <c r="B86" s="3">
        <v>50000</v>
      </c>
      <c r="C86" s="4">
        <v>0.104</v>
      </c>
      <c r="D86" s="2">
        <f>C86*B86</f>
        <v>5200</v>
      </c>
      <c r="E86" t="s">
        <v>108</v>
      </c>
      <c r="F86" t="s">
        <v>104</v>
      </c>
      <c r="G86" t="str">
        <f t="shared" si="2"/>
        <v>http://www.mouser.com/search/ProductDetail.aspx?R=0virtualkey0virtualkeyCLM1B-AKW-CUAVB253</v>
      </c>
    </row>
    <row r="87" spans="1:7">
      <c r="A87" s="14" t="s">
        <v>42</v>
      </c>
      <c r="B87">
        <v>1</v>
      </c>
      <c r="C87" s="4">
        <v>1.22</v>
      </c>
      <c r="D87" s="2">
        <v>1.22</v>
      </c>
      <c r="E87" t="s">
        <v>43</v>
      </c>
      <c r="F87" t="s">
        <v>12</v>
      </c>
      <c r="G87" t="str">
        <f t="shared" si="2"/>
        <v>http://www.digikey.com/products/en?keywords=IRFR7540TRPBFCT-ND</v>
      </c>
    </row>
    <row r="88" spans="1:7">
      <c r="A88" s="14" t="s">
        <v>42</v>
      </c>
      <c r="B88">
        <v>1</v>
      </c>
      <c r="C88" s="4">
        <v>1.17</v>
      </c>
      <c r="D88" s="2">
        <f>C88*B88</f>
        <v>1.17</v>
      </c>
      <c r="E88" t="s">
        <v>112</v>
      </c>
      <c r="F88" t="s">
        <v>104</v>
      </c>
      <c r="G88" t="str">
        <f t="shared" si="2"/>
        <v>http://www.mouser.com/search/ProductDetail.aspx?R=0virtualkey0virtualkeyIRFR7540TRPBF</v>
      </c>
    </row>
    <row r="89" spans="1:7">
      <c r="A89" s="14" t="s">
        <v>42</v>
      </c>
      <c r="B89">
        <v>10</v>
      </c>
      <c r="C89" s="4">
        <v>1.091</v>
      </c>
      <c r="D89" s="2">
        <v>10.91</v>
      </c>
      <c r="E89" t="s">
        <v>43</v>
      </c>
      <c r="F89" t="s">
        <v>12</v>
      </c>
      <c r="G89" t="str">
        <f t="shared" si="2"/>
        <v>http://www.digikey.com/products/en?keywords=IRFR7540TRPBFCT-ND</v>
      </c>
    </row>
    <row r="90" spans="1:7">
      <c r="A90" s="14" t="s">
        <v>42</v>
      </c>
      <c r="B90">
        <v>10</v>
      </c>
      <c r="C90" s="4">
        <v>1</v>
      </c>
      <c r="D90" s="2">
        <f>C90*B90</f>
        <v>10</v>
      </c>
      <c r="E90" t="s">
        <v>112</v>
      </c>
      <c r="F90" t="s">
        <v>104</v>
      </c>
      <c r="G90" t="str">
        <f t="shared" si="2"/>
        <v>http://www.mouser.com/search/ProductDetail.aspx?R=0virtualkey0virtualkeyIRFR7540TRPBF</v>
      </c>
    </row>
    <row r="91" spans="1:7">
      <c r="A91" s="14" t="s">
        <v>42</v>
      </c>
      <c r="B91">
        <v>100</v>
      </c>
      <c r="C91" s="4">
        <v>0.85050000000000003</v>
      </c>
      <c r="D91" s="2">
        <v>85.05</v>
      </c>
      <c r="E91" t="s">
        <v>43</v>
      </c>
      <c r="F91" t="s">
        <v>12</v>
      </c>
      <c r="G91" t="str">
        <f t="shared" si="2"/>
        <v>http://www.digikey.com/products/en?keywords=IRFR7540TRPBFCT-ND</v>
      </c>
    </row>
    <row r="92" spans="1:7">
      <c r="A92" s="14" t="s">
        <v>42</v>
      </c>
      <c r="B92">
        <v>100</v>
      </c>
      <c r="C92" s="4">
        <v>0.77200000000000002</v>
      </c>
      <c r="D92" s="2">
        <f>C92*B92</f>
        <v>77.2</v>
      </c>
      <c r="E92" t="s">
        <v>112</v>
      </c>
      <c r="F92" t="s">
        <v>104</v>
      </c>
      <c r="G92" t="str">
        <f t="shared" si="2"/>
        <v>http://www.mouser.com/search/ProductDetail.aspx?R=0virtualkey0virtualkeyIRFR7540TRPBF</v>
      </c>
    </row>
    <row r="93" spans="1:7">
      <c r="A93" s="14" t="s">
        <v>42</v>
      </c>
      <c r="B93">
        <v>500</v>
      </c>
      <c r="C93" s="4">
        <v>0.70255999999999996</v>
      </c>
      <c r="D93" s="2">
        <v>351.28</v>
      </c>
      <c r="E93" t="s">
        <v>43</v>
      </c>
      <c r="F93" t="s">
        <v>12</v>
      </c>
      <c r="G93" t="str">
        <f t="shared" si="2"/>
        <v>http://www.digikey.com/products/en?keywords=IRFR7540TRPBFCT-ND</v>
      </c>
    </row>
    <row r="94" spans="1:7">
      <c r="A94" s="14" t="s">
        <v>42</v>
      </c>
      <c r="B94">
        <v>500</v>
      </c>
      <c r="C94" s="4">
        <v>0.68200000000000005</v>
      </c>
      <c r="D94" s="2">
        <f>C94*B94</f>
        <v>341</v>
      </c>
      <c r="E94" t="s">
        <v>112</v>
      </c>
      <c r="F94" t="s">
        <v>104</v>
      </c>
      <c r="G94" t="str">
        <f t="shared" si="2"/>
        <v>http://www.mouser.com/search/ProductDetail.aspx?R=0virtualkey0virtualkeyIRFR7540TRPBF</v>
      </c>
    </row>
    <row r="95" spans="1:7">
      <c r="A95" s="14" t="s">
        <v>42</v>
      </c>
      <c r="B95" s="3">
        <v>1000</v>
      </c>
      <c r="C95" s="4">
        <v>0.55466000000000004</v>
      </c>
      <c r="D95" s="2">
        <v>554.66</v>
      </c>
      <c r="E95" t="s">
        <v>43</v>
      </c>
      <c r="F95" t="s">
        <v>12</v>
      </c>
      <c r="G95" t="str">
        <f t="shared" si="2"/>
        <v>http://www.digikey.com/products/en?keywords=IRFR7540TRPBFCT-ND</v>
      </c>
    </row>
    <row r="96" spans="1:7">
      <c r="A96" s="14" t="s">
        <v>42</v>
      </c>
      <c r="B96" s="3">
        <v>1000</v>
      </c>
      <c r="C96" s="4">
        <v>0.53800000000000003</v>
      </c>
      <c r="D96" s="2">
        <f>C96*B96</f>
        <v>538</v>
      </c>
      <c r="E96" t="s">
        <v>112</v>
      </c>
      <c r="F96" t="s">
        <v>104</v>
      </c>
      <c r="G96" t="str">
        <f t="shared" si="2"/>
        <v>http://www.mouser.com/search/ProductDetail.aspx?R=0virtualkey0virtualkeyIRFR7540TRPBF</v>
      </c>
    </row>
    <row r="97" spans="1:7">
      <c r="A97" s="14" t="s">
        <v>42</v>
      </c>
      <c r="B97" s="3">
        <v>2000</v>
      </c>
      <c r="C97" s="4">
        <v>0.47599999999999998</v>
      </c>
      <c r="D97" s="2">
        <f>C97*B97</f>
        <v>952</v>
      </c>
      <c r="E97" t="s">
        <v>112</v>
      </c>
      <c r="F97" t="s">
        <v>104</v>
      </c>
      <c r="G97" t="str">
        <f t="shared" si="2"/>
        <v>http://www.mouser.com/search/ProductDetail.aspx?R=0virtualkey0virtualkeyIRFR7540TRPBF</v>
      </c>
    </row>
    <row r="98" spans="1:7">
      <c r="A98" s="14" t="s">
        <v>42</v>
      </c>
      <c r="B98" s="3">
        <v>4000</v>
      </c>
      <c r="C98" s="4">
        <v>0.46700000000000003</v>
      </c>
      <c r="D98" s="2">
        <f>C98*B98</f>
        <v>1868</v>
      </c>
      <c r="E98" t="s">
        <v>112</v>
      </c>
      <c r="F98" t="s">
        <v>104</v>
      </c>
      <c r="G98" t="str">
        <f t="shared" si="2"/>
        <v>http://www.mouser.com/search/ProductDetail.aspx?R=0virtualkey0virtualkeyIRFR7540TRPBF</v>
      </c>
    </row>
    <row r="99" spans="1:7">
      <c r="A99" s="14" t="s">
        <v>42</v>
      </c>
      <c r="B99" s="3">
        <v>10000</v>
      </c>
      <c r="C99" s="4">
        <v>0.45800000000000002</v>
      </c>
      <c r="D99" s="2">
        <f>C99*B99</f>
        <v>4580</v>
      </c>
      <c r="E99" t="s">
        <v>112</v>
      </c>
      <c r="F99" t="s">
        <v>104</v>
      </c>
      <c r="G99" t="str">
        <f t="shared" si="2"/>
        <v>http://www.mouser.com/search/ProductDetail.aspx?R=0virtualkey0virtualkeyIRFR7540TRPBF</v>
      </c>
    </row>
    <row r="100" spans="1:7">
      <c r="A100" s="14" t="s">
        <v>42</v>
      </c>
      <c r="B100" s="3">
        <v>24000</v>
      </c>
      <c r="C100" s="4">
        <v>0.43099999999999999</v>
      </c>
      <c r="D100" s="2">
        <f>C100*B100</f>
        <v>10344</v>
      </c>
      <c r="E100" t="s">
        <v>112</v>
      </c>
      <c r="F100" t="s">
        <v>104</v>
      </c>
      <c r="G100" t="str">
        <f t="shared" si="2"/>
        <v>http://www.mouser.com/search/ProductDetail.aspx?R=0virtualkey0virtualkeyIRFR7540TRPBF</v>
      </c>
    </row>
    <row r="101" spans="1:7">
      <c r="A101" s="14" t="s">
        <v>99</v>
      </c>
      <c r="B101">
        <v>25</v>
      </c>
      <c r="C101" s="4">
        <f t="shared" ref="C101:C112" si="3">D101/B101</f>
        <v>2.44</v>
      </c>
      <c r="D101" s="2">
        <v>61</v>
      </c>
      <c r="E101" t="s">
        <v>99</v>
      </c>
      <c r="F101" t="s">
        <v>100</v>
      </c>
      <c r="G101" t="s">
        <v>128</v>
      </c>
    </row>
    <row r="102" spans="1:7">
      <c r="A102" s="14" t="s">
        <v>99</v>
      </c>
      <c r="B102">
        <v>50</v>
      </c>
      <c r="C102" s="4">
        <f t="shared" si="3"/>
        <v>1.46</v>
      </c>
      <c r="D102" s="2">
        <v>73</v>
      </c>
      <c r="E102" t="s">
        <v>99</v>
      </c>
      <c r="F102" t="s">
        <v>100</v>
      </c>
      <c r="G102" t="s">
        <v>128</v>
      </c>
    </row>
    <row r="103" spans="1:7">
      <c r="A103" s="14" t="s">
        <v>99</v>
      </c>
      <c r="B103">
        <v>100</v>
      </c>
      <c r="C103" s="4">
        <f t="shared" si="3"/>
        <v>1.25</v>
      </c>
      <c r="D103" s="2">
        <v>125</v>
      </c>
      <c r="E103" t="s">
        <v>99</v>
      </c>
      <c r="F103" t="s">
        <v>100</v>
      </c>
      <c r="G103" t="s">
        <v>128</v>
      </c>
    </row>
    <row r="104" spans="1:7">
      <c r="A104" s="14" t="s">
        <v>99</v>
      </c>
      <c r="B104">
        <v>250</v>
      </c>
      <c r="C104" s="4">
        <f t="shared" si="3"/>
        <v>0.70399999999999996</v>
      </c>
      <c r="D104" s="2">
        <v>176</v>
      </c>
      <c r="E104" t="s">
        <v>99</v>
      </c>
      <c r="F104" t="s">
        <v>100</v>
      </c>
      <c r="G104" t="s">
        <v>128</v>
      </c>
    </row>
    <row r="105" spans="1:7">
      <c r="A105" s="14" t="s">
        <v>99</v>
      </c>
      <c r="B105">
        <v>500</v>
      </c>
      <c r="C105" s="4">
        <f t="shared" si="3"/>
        <v>0.56599999999999995</v>
      </c>
      <c r="D105" s="2">
        <v>283</v>
      </c>
      <c r="E105" t="s">
        <v>99</v>
      </c>
      <c r="F105" t="s">
        <v>100</v>
      </c>
      <c r="G105" t="s">
        <v>128</v>
      </c>
    </row>
    <row r="106" spans="1:7">
      <c r="A106" s="14" t="s">
        <v>99</v>
      </c>
      <c r="B106" s="3">
        <v>1000</v>
      </c>
      <c r="C106" s="4">
        <f t="shared" si="3"/>
        <v>0.499</v>
      </c>
      <c r="D106" s="2">
        <v>499</v>
      </c>
      <c r="E106" t="s">
        <v>99</v>
      </c>
      <c r="F106" t="s">
        <v>100</v>
      </c>
      <c r="G106" t="s">
        <v>128</v>
      </c>
    </row>
    <row r="107" spans="1:7">
      <c r="A107" s="14" t="s">
        <v>120</v>
      </c>
      <c r="B107" s="3">
        <v>25</v>
      </c>
      <c r="C107" s="4">
        <f t="shared" si="3"/>
        <v>2.52</v>
      </c>
      <c r="D107" s="2">
        <v>63</v>
      </c>
      <c r="E107" t="s">
        <v>120</v>
      </c>
      <c r="F107" t="s">
        <v>100</v>
      </c>
      <c r="G107" t="s">
        <v>128</v>
      </c>
    </row>
    <row r="108" spans="1:7">
      <c r="A108" s="14" t="s">
        <v>120</v>
      </c>
      <c r="B108" s="3">
        <v>100</v>
      </c>
      <c r="C108" s="4">
        <f t="shared" si="3"/>
        <v>1.1000000000000001</v>
      </c>
      <c r="D108" s="2">
        <v>110</v>
      </c>
      <c r="E108" t="s">
        <v>120</v>
      </c>
      <c r="F108" t="s">
        <v>100</v>
      </c>
      <c r="G108" t="s">
        <v>128</v>
      </c>
    </row>
    <row r="109" spans="1:7">
      <c r="A109" s="14" t="s">
        <v>120</v>
      </c>
      <c r="B109" s="3">
        <v>250</v>
      </c>
      <c r="C109" s="4">
        <f t="shared" si="3"/>
        <v>0.69199999999999995</v>
      </c>
      <c r="D109" s="2">
        <v>173</v>
      </c>
      <c r="E109" t="s">
        <v>120</v>
      </c>
      <c r="F109" t="s">
        <v>100</v>
      </c>
      <c r="G109" t="s">
        <v>128</v>
      </c>
    </row>
    <row r="110" spans="1:7">
      <c r="A110" s="14" t="s">
        <v>120</v>
      </c>
      <c r="B110" s="3">
        <v>500</v>
      </c>
      <c r="C110" s="4">
        <f t="shared" si="3"/>
        <v>0.53200000000000003</v>
      </c>
      <c r="D110" s="2">
        <v>266</v>
      </c>
      <c r="E110" t="s">
        <v>120</v>
      </c>
      <c r="F110" t="s">
        <v>100</v>
      </c>
      <c r="G110" t="s">
        <v>128</v>
      </c>
    </row>
    <row r="111" spans="1:7">
      <c r="A111" s="14" t="s">
        <v>120</v>
      </c>
      <c r="B111" s="3">
        <v>800</v>
      </c>
      <c r="C111" s="4">
        <f t="shared" si="3"/>
        <v>0.48125000000000001</v>
      </c>
      <c r="D111" s="2">
        <v>385</v>
      </c>
      <c r="E111" t="s">
        <v>120</v>
      </c>
      <c r="F111" t="s">
        <v>100</v>
      </c>
      <c r="G111" t="s">
        <v>128</v>
      </c>
    </row>
    <row r="112" spans="1:7">
      <c r="A112" s="14" t="s">
        <v>120</v>
      </c>
      <c r="B112" s="3">
        <v>1000</v>
      </c>
      <c r="C112" s="4">
        <f t="shared" si="3"/>
        <v>0.41399999999999998</v>
      </c>
      <c r="D112" s="2">
        <v>414</v>
      </c>
      <c r="E112" t="s">
        <v>120</v>
      </c>
      <c r="F112" t="s">
        <v>100</v>
      </c>
      <c r="G112" t="s">
        <v>128</v>
      </c>
    </row>
    <row r="113" spans="1:7">
      <c r="A113" s="14" t="s">
        <v>18</v>
      </c>
      <c r="B113">
        <v>1</v>
      </c>
      <c r="C113" s="4">
        <v>0.86</v>
      </c>
      <c r="D113" s="2">
        <v>0.86</v>
      </c>
      <c r="E113" s="5" t="s">
        <v>20</v>
      </c>
      <c r="F113" t="s">
        <v>12</v>
      </c>
      <c r="G113" t="str">
        <f t="shared" ref="G113:G144" si="4">IF(F113="Digi-Key","http://www.digikey.com/products/en?keywords="&amp;E113,"http://www.mouser.com/search/ProductDetail.aspx?R=0virtualkey0virtualkey"&amp;A113)</f>
        <v>http://www.digikey.com/products/en?keywords=PS2801C-1-A-ND</v>
      </c>
    </row>
    <row r="114" spans="1:7">
      <c r="A114" s="14" t="s">
        <v>18</v>
      </c>
      <c r="B114">
        <v>1</v>
      </c>
      <c r="C114" s="4">
        <v>0.85</v>
      </c>
      <c r="D114" s="2">
        <f>C114*B114</f>
        <v>0.85</v>
      </c>
      <c r="E114" t="s">
        <v>106</v>
      </c>
      <c r="F114" t="s">
        <v>104</v>
      </c>
      <c r="G114" t="str">
        <f t="shared" si="4"/>
        <v>http://www.mouser.com/search/ProductDetail.aspx?R=0virtualkey0virtualkeyPS2801C-1-A</v>
      </c>
    </row>
    <row r="115" spans="1:7">
      <c r="A115" s="14" t="s">
        <v>18</v>
      </c>
      <c r="B115">
        <v>10</v>
      </c>
      <c r="C115" s="4">
        <v>0.66500000000000004</v>
      </c>
      <c r="D115" s="2">
        <v>6.65</v>
      </c>
      <c r="E115" s="5" t="s">
        <v>20</v>
      </c>
      <c r="F115" t="s">
        <v>12</v>
      </c>
      <c r="G115" t="str">
        <f t="shared" si="4"/>
        <v>http://www.digikey.com/products/en?keywords=PS2801C-1-A-ND</v>
      </c>
    </row>
    <row r="116" spans="1:7">
      <c r="A116" s="14" t="s">
        <v>18</v>
      </c>
      <c r="B116">
        <v>10</v>
      </c>
      <c r="C116" s="4">
        <v>0.60799999999999998</v>
      </c>
      <c r="D116" s="2">
        <f>C116*B116</f>
        <v>6.08</v>
      </c>
      <c r="E116" t="s">
        <v>106</v>
      </c>
      <c r="F116" t="s">
        <v>104</v>
      </c>
      <c r="G116" t="str">
        <f t="shared" si="4"/>
        <v>http://www.mouser.com/search/ProductDetail.aspx?R=0virtualkey0virtualkeyPS2801C-1-A</v>
      </c>
    </row>
    <row r="117" spans="1:7">
      <c r="A117" s="14" t="s">
        <v>18</v>
      </c>
      <c r="B117">
        <v>25</v>
      </c>
      <c r="C117" s="4">
        <v>0.55120000000000002</v>
      </c>
      <c r="D117" s="2">
        <v>13.78</v>
      </c>
      <c r="E117" s="5" t="s">
        <v>20</v>
      </c>
      <c r="F117" t="s">
        <v>12</v>
      </c>
      <c r="G117" t="str">
        <f t="shared" si="4"/>
        <v>http://www.digikey.com/products/en?keywords=PS2801C-1-A-ND</v>
      </c>
    </row>
    <row r="118" spans="1:7">
      <c r="A118" s="14" t="s">
        <v>18</v>
      </c>
      <c r="B118">
        <v>100</v>
      </c>
      <c r="C118" s="4">
        <v>0.47499999999999998</v>
      </c>
      <c r="D118" s="2">
        <v>47.5</v>
      </c>
      <c r="E118" s="5" t="s">
        <v>20</v>
      </c>
      <c r="F118" t="s">
        <v>12</v>
      </c>
      <c r="G118" t="str">
        <f t="shared" si="4"/>
        <v>http://www.digikey.com/products/en?keywords=PS2801C-1-A-ND</v>
      </c>
    </row>
    <row r="119" spans="1:7">
      <c r="A119" s="14" t="s">
        <v>18</v>
      </c>
      <c r="B119">
        <v>100</v>
      </c>
      <c r="C119" s="4">
        <v>0.39900000000000002</v>
      </c>
      <c r="D119" s="2">
        <f>C119*B119</f>
        <v>39.900000000000006</v>
      </c>
      <c r="E119" t="s">
        <v>106</v>
      </c>
      <c r="F119" t="s">
        <v>104</v>
      </c>
      <c r="G119" t="str">
        <f t="shared" si="4"/>
        <v>http://www.mouser.com/search/ProductDetail.aspx?R=0virtualkey0virtualkeyPS2801C-1-A</v>
      </c>
    </row>
    <row r="120" spans="1:7">
      <c r="A120" s="14" t="s">
        <v>18</v>
      </c>
      <c r="B120">
        <v>250</v>
      </c>
      <c r="C120" s="4">
        <v>0.41799999999999998</v>
      </c>
      <c r="D120" s="2">
        <v>104.5</v>
      </c>
      <c r="E120" s="5" t="s">
        <v>20</v>
      </c>
      <c r="F120" t="s">
        <v>12</v>
      </c>
      <c r="G120" t="str">
        <f t="shared" si="4"/>
        <v>http://www.digikey.com/products/en?keywords=PS2801C-1-A-ND</v>
      </c>
    </row>
    <row r="121" spans="1:7">
      <c r="A121" s="14" t="s">
        <v>18</v>
      </c>
      <c r="B121">
        <v>500</v>
      </c>
      <c r="C121" s="4">
        <v>0.36099999999999999</v>
      </c>
      <c r="D121" s="2">
        <v>180.5</v>
      </c>
      <c r="E121" s="5" t="s">
        <v>20</v>
      </c>
      <c r="F121" t="s">
        <v>12</v>
      </c>
      <c r="G121" t="str">
        <f t="shared" si="4"/>
        <v>http://www.digikey.com/products/en?keywords=PS2801C-1-A-ND</v>
      </c>
    </row>
    <row r="122" spans="1:7">
      <c r="A122" s="14" t="s">
        <v>18</v>
      </c>
      <c r="B122" s="3">
        <v>1000</v>
      </c>
      <c r="C122" s="4">
        <v>0.28499999999999998</v>
      </c>
      <c r="D122" s="2">
        <v>285</v>
      </c>
      <c r="E122" s="5" t="s">
        <v>20</v>
      </c>
      <c r="F122" t="s">
        <v>12</v>
      </c>
      <c r="G122" t="str">
        <f t="shared" si="4"/>
        <v>http://www.digikey.com/products/en?keywords=PS2801C-1-A-ND</v>
      </c>
    </row>
    <row r="123" spans="1:7">
      <c r="A123" s="14" t="s">
        <v>18</v>
      </c>
      <c r="B123" s="3">
        <v>1000</v>
      </c>
      <c r="C123" s="4">
        <v>0.28499999999999998</v>
      </c>
      <c r="D123" s="2">
        <f>C123*B123</f>
        <v>285</v>
      </c>
      <c r="E123" t="s">
        <v>106</v>
      </c>
      <c r="F123" t="s">
        <v>104</v>
      </c>
      <c r="G123" t="str">
        <f t="shared" si="4"/>
        <v>http://www.mouser.com/search/ProductDetail.aspx?R=0virtualkey0virtualkeyPS2801C-1-A</v>
      </c>
    </row>
    <row r="124" spans="1:7">
      <c r="A124" s="14" t="s">
        <v>18</v>
      </c>
      <c r="B124" s="3">
        <v>2500</v>
      </c>
      <c r="C124" s="4">
        <v>0.26600000000000001</v>
      </c>
      <c r="D124" s="2">
        <v>665</v>
      </c>
      <c r="E124" s="5" t="s">
        <v>20</v>
      </c>
      <c r="F124" t="s">
        <v>12</v>
      </c>
      <c r="G124" t="str">
        <f t="shared" si="4"/>
        <v>http://www.digikey.com/products/en?keywords=PS2801C-1-A-ND</v>
      </c>
    </row>
    <row r="125" spans="1:7">
      <c r="A125" s="14" t="s">
        <v>18</v>
      </c>
      <c r="B125" s="3">
        <v>2500</v>
      </c>
      <c r="C125" s="4">
        <v>0.25700000000000001</v>
      </c>
      <c r="D125" s="2">
        <f>C125*B125</f>
        <v>642.5</v>
      </c>
      <c r="E125" t="s">
        <v>106</v>
      </c>
      <c r="F125" t="s">
        <v>104</v>
      </c>
      <c r="G125" t="str">
        <f t="shared" si="4"/>
        <v>http://www.mouser.com/search/ProductDetail.aspx?R=0virtualkey0virtualkeyPS2801C-1-A</v>
      </c>
    </row>
    <row r="126" spans="1:7">
      <c r="A126" s="14" t="s">
        <v>18</v>
      </c>
      <c r="B126" s="3">
        <v>5000</v>
      </c>
      <c r="C126" s="4">
        <v>0.25650000000000001</v>
      </c>
      <c r="D126" s="2">
        <v>1282.5</v>
      </c>
      <c r="E126" s="5" t="s">
        <v>20</v>
      </c>
      <c r="F126" t="s">
        <v>12</v>
      </c>
      <c r="G126" t="str">
        <f t="shared" si="4"/>
        <v>http://www.digikey.com/products/en?keywords=PS2801C-1-A-ND</v>
      </c>
    </row>
    <row r="127" spans="1:7">
      <c r="A127" s="14" t="s">
        <v>18</v>
      </c>
      <c r="B127" s="3">
        <v>10000</v>
      </c>
      <c r="C127" s="4">
        <v>0.253</v>
      </c>
      <c r="D127" s="2">
        <f>C127*B127</f>
        <v>2530</v>
      </c>
      <c r="E127" t="s">
        <v>106</v>
      </c>
      <c r="F127" t="s">
        <v>104</v>
      </c>
      <c r="G127" t="str">
        <f t="shared" si="4"/>
        <v>http://www.mouser.com/search/ProductDetail.aspx?R=0virtualkey0virtualkeyPS2801C-1-A</v>
      </c>
    </row>
    <row r="128" spans="1:7">
      <c r="A128" s="14" t="s">
        <v>18</v>
      </c>
      <c r="B128" s="3">
        <v>25000</v>
      </c>
      <c r="C128" s="4">
        <v>0.247</v>
      </c>
      <c r="D128" s="2">
        <f>C128*B128</f>
        <v>6175</v>
      </c>
      <c r="E128" t="s">
        <v>106</v>
      </c>
      <c r="F128" t="s">
        <v>104</v>
      </c>
      <c r="G128" t="str">
        <f t="shared" si="4"/>
        <v>http://www.mouser.com/search/ProductDetail.aspx?R=0virtualkey0virtualkeyPS2801C-1-A</v>
      </c>
    </row>
    <row r="129" spans="1:7">
      <c r="A129" s="14" t="s">
        <v>18</v>
      </c>
      <c r="B129" s="3">
        <v>50000</v>
      </c>
      <c r="C129" s="4">
        <v>0.23799999999999999</v>
      </c>
      <c r="D129" s="2">
        <f>C129*B129</f>
        <v>11900</v>
      </c>
      <c r="E129" t="s">
        <v>106</v>
      </c>
      <c r="F129" t="s">
        <v>104</v>
      </c>
      <c r="G129" t="str">
        <f t="shared" si="4"/>
        <v>http://www.mouser.com/search/ProductDetail.aspx?R=0virtualkey0virtualkeyPS2801C-1-A</v>
      </c>
    </row>
    <row r="130" spans="1:7">
      <c r="A130" s="14" t="s">
        <v>116</v>
      </c>
      <c r="B130">
        <v>1</v>
      </c>
      <c r="C130" s="4">
        <v>0.77</v>
      </c>
      <c r="D130" s="2">
        <v>0.77</v>
      </c>
      <c r="E130" t="s">
        <v>117</v>
      </c>
      <c r="F130" t="s">
        <v>12</v>
      </c>
      <c r="G130" t="str">
        <f t="shared" si="4"/>
        <v>http://www.digikey.com/products/en?keywords=568-13047-1-ND</v>
      </c>
    </row>
    <row r="131" spans="1:7">
      <c r="A131" s="14" t="s">
        <v>116</v>
      </c>
      <c r="B131">
        <v>1</v>
      </c>
      <c r="C131" s="4">
        <v>0.77</v>
      </c>
      <c r="D131" s="2">
        <f>C131*B131</f>
        <v>0.77</v>
      </c>
      <c r="E131" t="s">
        <v>118</v>
      </c>
      <c r="F131" t="s">
        <v>104</v>
      </c>
      <c r="G131" t="str">
        <f t="shared" si="4"/>
        <v>http://www.mouser.com/search/ProductDetail.aspx?R=0virtualkey0virtualkeyPSMN5R6-60YLX</v>
      </c>
    </row>
    <row r="132" spans="1:7">
      <c r="A132" s="14" t="s">
        <v>116</v>
      </c>
      <c r="B132">
        <v>10</v>
      </c>
      <c r="C132" s="4">
        <v>0.67900000000000005</v>
      </c>
      <c r="D132" s="2">
        <v>6.79</v>
      </c>
      <c r="E132" t="s">
        <v>117</v>
      </c>
      <c r="F132" t="s">
        <v>12</v>
      </c>
      <c r="G132" t="str">
        <f t="shared" si="4"/>
        <v>http://www.digikey.com/products/en?keywords=568-13047-1-ND</v>
      </c>
    </row>
    <row r="133" spans="1:7">
      <c r="A133" s="14" t="s">
        <v>116</v>
      </c>
      <c r="B133">
        <v>10</v>
      </c>
      <c r="C133" s="4">
        <v>0.62</v>
      </c>
      <c r="D133" s="2">
        <f>C133*B133</f>
        <v>6.2</v>
      </c>
      <c r="E133" t="s">
        <v>118</v>
      </c>
      <c r="F133" t="s">
        <v>104</v>
      </c>
      <c r="G133" t="str">
        <f t="shared" si="4"/>
        <v>http://www.mouser.com/search/ProductDetail.aspx?R=0virtualkey0virtualkeyPSMN5R6-60YLX</v>
      </c>
    </row>
    <row r="134" spans="1:7">
      <c r="A134" s="14" t="s">
        <v>116</v>
      </c>
      <c r="B134">
        <v>100</v>
      </c>
      <c r="C134" s="4">
        <v>0.52090000000000003</v>
      </c>
      <c r="D134" s="2">
        <v>52.09</v>
      </c>
      <c r="E134" t="s">
        <v>117</v>
      </c>
      <c r="F134" t="s">
        <v>12</v>
      </c>
      <c r="G134" t="str">
        <f t="shared" si="4"/>
        <v>http://www.digikey.com/products/en?keywords=568-13047-1-ND</v>
      </c>
    </row>
    <row r="135" spans="1:7">
      <c r="A135" s="14" t="s">
        <v>116</v>
      </c>
      <c r="B135">
        <v>100</v>
      </c>
      <c r="C135" s="4">
        <v>0.4</v>
      </c>
      <c r="D135" s="2">
        <f>C135*B135</f>
        <v>40</v>
      </c>
      <c r="E135" t="s">
        <v>118</v>
      </c>
      <c r="F135" t="s">
        <v>104</v>
      </c>
      <c r="G135" t="str">
        <f t="shared" si="4"/>
        <v>http://www.mouser.com/search/ProductDetail.aspx?R=0virtualkey0virtualkeyPSMN5R6-60YLX</v>
      </c>
    </row>
    <row r="136" spans="1:7">
      <c r="A136" s="14" t="s">
        <v>116</v>
      </c>
      <c r="B136">
        <v>500</v>
      </c>
      <c r="C136" s="4">
        <v>0.4118</v>
      </c>
      <c r="D136" s="2">
        <v>205.9</v>
      </c>
      <c r="E136" t="s">
        <v>117</v>
      </c>
      <c r="F136" t="s">
        <v>12</v>
      </c>
      <c r="G136" t="str">
        <f t="shared" si="4"/>
        <v>http://www.digikey.com/products/en?keywords=568-13047-1-ND</v>
      </c>
    </row>
    <row r="137" spans="1:7">
      <c r="A137" s="14" t="s">
        <v>116</v>
      </c>
      <c r="B137" s="3">
        <v>1000</v>
      </c>
      <c r="C137" s="4">
        <v>0.32</v>
      </c>
      <c r="D137" s="2">
        <f t="shared" ref="D137:D142" si="5">C137*B137</f>
        <v>320</v>
      </c>
      <c r="E137" t="s">
        <v>118</v>
      </c>
      <c r="F137" t="s">
        <v>104</v>
      </c>
      <c r="G137" t="str">
        <f t="shared" si="4"/>
        <v>http://www.mouser.com/search/ProductDetail.aspx?R=0virtualkey0virtualkeyPSMN5R6-60YLX</v>
      </c>
    </row>
    <row r="138" spans="1:7">
      <c r="A138" s="14" t="s">
        <v>116</v>
      </c>
      <c r="B138" s="3">
        <v>1500</v>
      </c>
      <c r="C138" s="4">
        <v>0.27</v>
      </c>
      <c r="D138" s="2">
        <f t="shared" si="5"/>
        <v>405</v>
      </c>
      <c r="E138" t="s">
        <v>118</v>
      </c>
      <c r="F138" t="s">
        <v>104</v>
      </c>
      <c r="G138" t="str">
        <f t="shared" si="4"/>
        <v>http://www.mouser.com/search/ProductDetail.aspx?R=0virtualkey0virtualkeyPSMN5R6-60YLX</v>
      </c>
    </row>
    <row r="139" spans="1:7">
      <c r="A139" s="14" t="s">
        <v>116</v>
      </c>
      <c r="B139" s="3">
        <v>4500</v>
      </c>
      <c r="C139" s="4">
        <v>0.26</v>
      </c>
      <c r="D139" s="2">
        <f t="shared" si="5"/>
        <v>1170</v>
      </c>
      <c r="E139" t="s">
        <v>118</v>
      </c>
      <c r="F139" t="s">
        <v>104</v>
      </c>
      <c r="G139" t="str">
        <f t="shared" si="4"/>
        <v>http://www.mouser.com/search/ProductDetail.aspx?R=0virtualkey0virtualkeyPSMN5R6-60YLX</v>
      </c>
    </row>
    <row r="140" spans="1:7">
      <c r="A140" s="14" t="s">
        <v>116</v>
      </c>
      <c r="B140" s="3">
        <v>9000</v>
      </c>
      <c r="C140" s="4">
        <v>0.25900000000000001</v>
      </c>
      <c r="D140" s="2">
        <f t="shared" si="5"/>
        <v>2331</v>
      </c>
      <c r="E140" t="s">
        <v>118</v>
      </c>
      <c r="F140" t="s">
        <v>104</v>
      </c>
      <c r="G140" t="str">
        <f t="shared" si="4"/>
        <v>http://www.mouser.com/search/ProductDetail.aspx?R=0virtualkey0virtualkeyPSMN5R6-60YLX</v>
      </c>
    </row>
    <row r="141" spans="1:7">
      <c r="A141" s="14" t="s">
        <v>116</v>
      </c>
      <c r="B141" s="3">
        <v>24000</v>
      </c>
      <c r="C141" s="4">
        <v>0.24399999999999999</v>
      </c>
      <c r="D141" s="2">
        <f t="shared" si="5"/>
        <v>5856</v>
      </c>
      <c r="E141" t="s">
        <v>118</v>
      </c>
      <c r="F141" t="s">
        <v>104</v>
      </c>
      <c r="G141" t="str">
        <f t="shared" si="4"/>
        <v>http://www.mouser.com/search/ProductDetail.aspx?R=0virtualkey0virtualkeyPSMN5R6-60YLX</v>
      </c>
    </row>
    <row r="142" spans="1:7">
      <c r="A142" s="14" t="s">
        <v>116</v>
      </c>
      <c r="B142" s="3">
        <v>49500</v>
      </c>
      <c r="C142" s="4">
        <v>0.23899999999999999</v>
      </c>
      <c r="D142" s="2">
        <f t="shared" si="5"/>
        <v>11830.5</v>
      </c>
      <c r="E142" t="s">
        <v>118</v>
      </c>
      <c r="F142" t="s">
        <v>104</v>
      </c>
      <c r="G142" t="str">
        <f t="shared" si="4"/>
        <v>http://www.mouser.com/search/ProductDetail.aspx?R=0virtualkey0virtualkeyPSMN5R6-60YLX</v>
      </c>
    </row>
    <row r="143" spans="1:7">
      <c r="A143" s="14" t="s">
        <v>10</v>
      </c>
      <c r="B143">
        <v>1</v>
      </c>
      <c r="C143" s="4">
        <v>0.1</v>
      </c>
      <c r="D143" s="2">
        <v>0.1</v>
      </c>
      <c r="E143" t="s">
        <v>13</v>
      </c>
      <c r="F143" t="s">
        <v>12</v>
      </c>
      <c r="G143" t="str">
        <f t="shared" si="4"/>
        <v>http://www.digikey.com/products/en?keywords=311-1.69KFRCT-ND</v>
      </c>
    </row>
    <row r="144" spans="1:7">
      <c r="A144" s="14" t="s">
        <v>10</v>
      </c>
      <c r="B144">
        <v>1</v>
      </c>
      <c r="C144" s="4">
        <v>0.1</v>
      </c>
      <c r="D144" s="2">
        <f>C144*B144</f>
        <v>0.1</v>
      </c>
      <c r="E144" t="s">
        <v>103</v>
      </c>
      <c r="F144" t="s">
        <v>104</v>
      </c>
      <c r="G144" t="str">
        <f t="shared" si="4"/>
        <v>http://www.mouser.com/search/ProductDetail.aspx?R=0virtualkey0virtualkeyRC1206FR-071K69L</v>
      </c>
    </row>
    <row r="145" spans="1:7">
      <c r="A145" s="14" t="s">
        <v>10</v>
      </c>
      <c r="B145">
        <v>10</v>
      </c>
      <c r="C145" s="4">
        <v>2.9000000000000001E-2</v>
      </c>
      <c r="D145" s="2">
        <v>0.28999999999999998</v>
      </c>
      <c r="E145" t="s">
        <v>13</v>
      </c>
      <c r="F145" t="s">
        <v>12</v>
      </c>
      <c r="G145" t="str">
        <f t="shared" ref="G145:G176" si="6">IF(F145="Digi-Key","http://www.digikey.com/products/en?keywords="&amp;E145,"http://www.mouser.com/search/ProductDetail.aspx?R=0virtualkey0virtualkey"&amp;A145)</f>
        <v>http://www.digikey.com/products/en?keywords=311-1.69KFRCT-ND</v>
      </c>
    </row>
    <row r="146" spans="1:7">
      <c r="A146" s="14" t="s">
        <v>10</v>
      </c>
      <c r="B146">
        <v>10</v>
      </c>
      <c r="C146" s="4">
        <v>2.4E-2</v>
      </c>
      <c r="D146" s="2">
        <f>C146*B146</f>
        <v>0.24</v>
      </c>
      <c r="E146" t="s">
        <v>103</v>
      </c>
      <c r="F146" t="s">
        <v>104</v>
      </c>
      <c r="G146" t="str">
        <f t="shared" si="6"/>
        <v>http://www.mouser.com/search/ProductDetail.aspx?R=0virtualkey0virtualkeyRC1206FR-071K69L</v>
      </c>
    </row>
    <row r="147" spans="1:7">
      <c r="A147" s="14" t="s">
        <v>10</v>
      </c>
      <c r="B147">
        <v>25</v>
      </c>
      <c r="C147" s="4">
        <v>2.12E-2</v>
      </c>
      <c r="D147" s="2">
        <v>0.53</v>
      </c>
      <c r="E147" t="s">
        <v>13</v>
      </c>
      <c r="F147" t="s">
        <v>12</v>
      </c>
      <c r="G147" t="str">
        <f t="shared" si="6"/>
        <v>http://www.digikey.com/products/en?keywords=311-1.69KFRCT-ND</v>
      </c>
    </row>
    <row r="148" spans="1:7">
      <c r="A148" s="14" t="s">
        <v>10</v>
      </c>
      <c r="B148">
        <v>50</v>
      </c>
      <c r="C148" s="4">
        <v>1.6E-2</v>
      </c>
      <c r="D148" s="2">
        <v>0.8</v>
      </c>
      <c r="E148" t="s">
        <v>13</v>
      </c>
      <c r="F148" t="s">
        <v>12</v>
      </c>
      <c r="G148" t="str">
        <f t="shared" si="6"/>
        <v>http://www.digikey.com/products/en?keywords=311-1.69KFRCT-ND</v>
      </c>
    </row>
    <row r="149" spans="1:7">
      <c r="A149" s="14" t="s">
        <v>10</v>
      </c>
      <c r="B149">
        <v>100</v>
      </c>
      <c r="C149" s="4">
        <v>1.18E-2</v>
      </c>
      <c r="D149" s="2">
        <v>1.18</v>
      </c>
      <c r="E149" t="s">
        <v>13</v>
      </c>
      <c r="F149" t="s">
        <v>12</v>
      </c>
      <c r="G149" t="str">
        <f t="shared" si="6"/>
        <v>http://www.digikey.com/products/en?keywords=311-1.69KFRCT-ND</v>
      </c>
    </row>
    <row r="150" spans="1:7">
      <c r="A150" s="14" t="s">
        <v>10</v>
      </c>
      <c r="B150">
        <v>100</v>
      </c>
      <c r="C150" s="4">
        <v>8.9999999999999993E-3</v>
      </c>
      <c r="D150" s="2">
        <f>C150*B150</f>
        <v>0.89999999999999991</v>
      </c>
      <c r="E150" t="s">
        <v>103</v>
      </c>
      <c r="F150" t="s">
        <v>104</v>
      </c>
      <c r="G150" t="str">
        <f t="shared" si="6"/>
        <v>http://www.mouser.com/search/ProductDetail.aspx?R=0virtualkey0virtualkeyRC1206FR-071K69L</v>
      </c>
    </row>
    <row r="151" spans="1:7">
      <c r="A151" s="14" t="s">
        <v>10</v>
      </c>
      <c r="B151">
        <v>250</v>
      </c>
      <c r="C151" s="4">
        <v>8.9999999999999993E-3</v>
      </c>
      <c r="D151" s="2">
        <v>2.25</v>
      </c>
      <c r="E151" t="s">
        <v>13</v>
      </c>
      <c r="F151" t="s">
        <v>12</v>
      </c>
      <c r="G151" t="str">
        <f t="shared" si="6"/>
        <v>http://www.digikey.com/products/en?keywords=311-1.69KFRCT-ND</v>
      </c>
    </row>
    <row r="152" spans="1:7">
      <c r="A152" s="14" t="s">
        <v>10</v>
      </c>
      <c r="B152">
        <v>500</v>
      </c>
      <c r="C152" s="4">
        <v>7.1999999999999998E-3</v>
      </c>
      <c r="D152" s="2">
        <v>3.6</v>
      </c>
      <c r="E152" t="s">
        <v>13</v>
      </c>
      <c r="F152" t="s">
        <v>12</v>
      </c>
      <c r="G152" t="str">
        <f t="shared" si="6"/>
        <v>http://www.digikey.com/products/en?keywords=311-1.69KFRCT-ND</v>
      </c>
    </row>
    <row r="153" spans="1:7">
      <c r="A153" s="14" t="s">
        <v>10</v>
      </c>
      <c r="B153" s="3">
        <v>1000</v>
      </c>
      <c r="C153" s="4">
        <v>5.3E-3</v>
      </c>
      <c r="D153" s="2">
        <v>5.3</v>
      </c>
      <c r="E153" t="s">
        <v>13</v>
      </c>
      <c r="F153" t="s">
        <v>12</v>
      </c>
      <c r="G153" t="str">
        <f t="shared" si="6"/>
        <v>http://www.digikey.com/products/en?keywords=311-1.69KFRCT-ND</v>
      </c>
    </row>
    <row r="154" spans="1:7">
      <c r="A154" s="14" t="s">
        <v>10</v>
      </c>
      <c r="B154" s="3">
        <v>1000</v>
      </c>
      <c r="C154" s="4">
        <v>6.0000000000000001E-3</v>
      </c>
      <c r="D154" s="2">
        <f>C154*B154</f>
        <v>6</v>
      </c>
      <c r="E154" t="s">
        <v>103</v>
      </c>
      <c r="F154" t="s">
        <v>104</v>
      </c>
      <c r="G154" t="str">
        <f t="shared" si="6"/>
        <v>http://www.mouser.com/search/ProductDetail.aspx?R=0virtualkey0virtualkeyRC1206FR-071K69L</v>
      </c>
    </row>
    <row r="155" spans="1:7">
      <c r="A155" s="14" t="s">
        <v>10</v>
      </c>
      <c r="B155" s="3">
        <v>5000</v>
      </c>
      <c r="C155" s="4">
        <v>4.0000000000000001E-3</v>
      </c>
      <c r="D155" s="2">
        <f>C155*B155</f>
        <v>20</v>
      </c>
      <c r="E155" t="s">
        <v>103</v>
      </c>
      <c r="F155" t="s">
        <v>104</v>
      </c>
      <c r="G155" t="str">
        <f t="shared" si="6"/>
        <v>http://www.mouser.com/search/ProductDetail.aspx?R=0virtualkey0virtualkeyRC1206FR-071K69L</v>
      </c>
    </row>
    <row r="156" spans="1:7">
      <c r="A156" s="14" t="s">
        <v>10</v>
      </c>
      <c r="B156" s="3">
        <v>25000</v>
      </c>
      <c r="C156" s="4">
        <v>3.0000000000000001E-3</v>
      </c>
      <c r="D156" s="2">
        <f>C156*B156</f>
        <v>75</v>
      </c>
      <c r="E156" t="s">
        <v>103</v>
      </c>
      <c r="F156" t="s">
        <v>104</v>
      </c>
      <c r="G156" t="str">
        <f t="shared" si="6"/>
        <v>http://www.mouser.com/search/ProductDetail.aspx?R=0virtualkey0virtualkeyRC1206FR-071K69L</v>
      </c>
    </row>
    <row r="157" spans="1:7">
      <c r="A157" s="14" t="s">
        <v>39</v>
      </c>
      <c r="B157">
        <v>1</v>
      </c>
      <c r="C157" s="4">
        <v>0.1</v>
      </c>
      <c r="D157" s="2">
        <v>0.1</v>
      </c>
      <c r="E157" t="s">
        <v>40</v>
      </c>
      <c r="F157" t="s">
        <v>12</v>
      </c>
      <c r="G157" t="str">
        <f t="shared" si="6"/>
        <v>http://www.digikey.com/products/en?keywords=311-1.80KFRCT-ND</v>
      </c>
    </row>
    <row r="158" spans="1:7">
      <c r="A158" s="14" t="s">
        <v>39</v>
      </c>
      <c r="B158">
        <v>1</v>
      </c>
      <c r="C158" s="4">
        <v>0.1</v>
      </c>
      <c r="D158" s="2">
        <f>C158*B158</f>
        <v>0.1</v>
      </c>
      <c r="E158" t="s">
        <v>111</v>
      </c>
      <c r="F158" t="s">
        <v>104</v>
      </c>
      <c r="G158" t="str">
        <f t="shared" si="6"/>
        <v>http://www.mouser.com/search/ProductDetail.aspx?R=0virtualkey0virtualkeyRC1206FR-071K8L</v>
      </c>
    </row>
    <row r="159" spans="1:7">
      <c r="A159" s="14" t="s">
        <v>39</v>
      </c>
      <c r="B159">
        <v>10</v>
      </c>
      <c r="C159" s="4">
        <v>2.9000000000000001E-2</v>
      </c>
      <c r="D159" s="2">
        <v>0.28999999999999998</v>
      </c>
      <c r="E159" t="s">
        <v>40</v>
      </c>
      <c r="F159" t="s">
        <v>12</v>
      </c>
      <c r="G159" t="str">
        <f t="shared" si="6"/>
        <v>http://www.digikey.com/products/en?keywords=311-1.80KFRCT-ND</v>
      </c>
    </row>
    <row r="160" spans="1:7">
      <c r="A160" s="14" t="s">
        <v>39</v>
      </c>
      <c r="B160">
        <v>10</v>
      </c>
      <c r="C160" s="4">
        <v>2.4E-2</v>
      </c>
      <c r="D160" s="2">
        <f>C160*B160</f>
        <v>0.24</v>
      </c>
      <c r="E160" t="s">
        <v>111</v>
      </c>
      <c r="F160" t="s">
        <v>104</v>
      </c>
      <c r="G160" t="str">
        <f t="shared" si="6"/>
        <v>http://www.mouser.com/search/ProductDetail.aspx?R=0virtualkey0virtualkeyRC1206FR-071K8L</v>
      </c>
    </row>
    <row r="161" spans="1:7">
      <c r="A161" s="14" t="s">
        <v>39</v>
      </c>
      <c r="B161">
        <v>25</v>
      </c>
      <c r="C161" s="4">
        <v>2.12E-2</v>
      </c>
      <c r="D161" s="2">
        <v>0.53</v>
      </c>
      <c r="E161" t="s">
        <v>40</v>
      </c>
      <c r="F161" t="s">
        <v>12</v>
      </c>
      <c r="G161" t="str">
        <f t="shared" si="6"/>
        <v>http://www.digikey.com/products/en?keywords=311-1.80KFRCT-ND</v>
      </c>
    </row>
    <row r="162" spans="1:7">
      <c r="A162" s="14" t="s">
        <v>39</v>
      </c>
      <c r="B162">
        <v>50</v>
      </c>
      <c r="C162" s="4">
        <v>1.6E-2</v>
      </c>
      <c r="D162" s="2">
        <v>0.8</v>
      </c>
      <c r="E162" t="s">
        <v>40</v>
      </c>
      <c r="F162" t="s">
        <v>12</v>
      </c>
      <c r="G162" t="str">
        <f t="shared" si="6"/>
        <v>http://www.digikey.com/products/en?keywords=311-1.80KFRCT-ND</v>
      </c>
    </row>
    <row r="163" spans="1:7">
      <c r="A163" s="14" t="s">
        <v>39</v>
      </c>
      <c r="B163">
        <v>100</v>
      </c>
      <c r="C163" s="4">
        <v>1.18E-2</v>
      </c>
      <c r="D163" s="2">
        <v>1.18</v>
      </c>
      <c r="E163" t="s">
        <v>40</v>
      </c>
      <c r="F163" t="s">
        <v>12</v>
      </c>
      <c r="G163" t="str">
        <f t="shared" si="6"/>
        <v>http://www.digikey.com/products/en?keywords=311-1.80KFRCT-ND</v>
      </c>
    </row>
    <row r="164" spans="1:7">
      <c r="A164" s="14" t="s">
        <v>39</v>
      </c>
      <c r="B164">
        <v>100</v>
      </c>
      <c r="C164" s="4">
        <v>8.9999999999999993E-3</v>
      </c>
      <c r="D164" s="2">
        <f>C164*B164</f>
        <v>0.89999999999999991</v>
      </c>
      <c r="E164" t="s">
        <v>111</v>
      </c>
      <c r="F164" t="s">
        <v>104</v>
      </c>
      <c r="G164" t="str">
        <f t="shared" si="6"/>
        <v>http://www.mouser.com/search/ProductDetail.aspx?R=0virtualkey0virtualkeyRC1206FR-071K8L</v>
      </c>
    </row>
    <row r="165" spans="1:7">
      <c r="A165" s="14" t="s">
        <v>39</v>
      </c>
      <c r="B165">
        <v>250</v>
      </c>
      <c r="C165" s="4">
        <v>8.9999999999999993E-3</v>
      </c>
      <c r="D165" s="2">
        <v>2.25</v>
      </c>
      <c r="E165" t="s">
        <v>40</v>
      </c>
      <c r="F165" t="s">
        <v>12</v>
      </c>
      <c r="G165" t="str">
        <f t="shared" si="6"/>
        <v>http://www.digikey.com/products/en?keywords=311-1.80KFRCT-ND</v>
      </c>
    </row>
    <row r="166" spans="1:7">
      <c r="A166" s="14" t="s">
        <v>39</v>
      </c>
      <c r="B166">
        <v>500</v>
      </c>
      <c r="C166" s="4">
        <v>7.1999999999999998E-3</v>
      </c>
      <c r="D166" s="2">
        <v>3.6</v>
      </c>
      <c r="E166" t="s">
        <v>40</v>
      </c>
      <c r="F166" t="s">
        <v>12</v>
      </c>
      <c r="G166" t="str">
        <f t="shared" si="6"/>
        <v>http://www.digikey.com/products/en?keywords=311-1.80KFRCT-ND</v>
      </c>
    </row>
    <row r="167" spans="1:7">
      <c r="A167" s="14" t="s">
        <v>39</v>
      </c>
      <c r="B167" s="3">
        <v>1000</v>
      </c>
      <c r="C167" s="4">
        <v>5.3E-3</v>
      </c>
      <c r="D167" s="2">
        <v>5.3</v>
      </c>
      <c r="E167" t="s">
        <v>40</v>
      </c>
      <c r="F167" t="s">
        <v>12</v>
      </c>
      <c r="G167" t="str">
        <f t="shared" si="6"/>
        <v>http://www.digikey.com/products/en?keywords=311-1.80KFRCT-ND</v>
      </c>
    </row>
    <row r="168" spans="1:7">
      <c r="A168" s="14" t="s">
        <v>39</v>
      </c>
      <c r="B168" s="3">
        <v>1000</v>
      </c>
      <c r="C168" s="4">
        <v>6.0000000000000001E-3</v>
      </c>
      <c r="D168" s="2">
        <f>C168*B168</f>
        <v>6</v>
      </c>
      <c r="E168" t="s">
        <v>111</v>
      </c>
      <c r="F168" t="s">
        <v>104</v>
      </c>
      <c r="G168" t="str">
        <f t="shared" si="6"/>
        <v>http://www.mouser.com/search/ProductDetail.aspx?R=0virtualkey0virtualkeyRC1206FR-071K8L</v>
      </c>
    </row>
    <row r="169" spans="1:7">
      <c r="A169" s="14" t="s">
        <v>39</v>
      </c>
      <c r="B169" s="3">
        <v>5000</v>
      </c>
      <c r="C169" s="4">
        <v>4.0000000000000001E-3</v>
      </c>
      <c r="D169" s="2">
        <f>C169*B169</f>
        <v>20</v>
      </c>
      <c r="E169" t="s">
        <v>111</v>
      </c>
      <c r="F169" t="s">
        <v>104</v>
      </c>
      <c r="G169" t="str">
        <f t="shared" si="6"/>
        <v>http://www.mouser.com/search/ProductDetail.aspx?R=0virtualkey0virtualkeyRC1206FR-071K8L</v>
      </c>
    </row>
    <row r="170" spans="1:7">
      <c r="A170" s="14" t="s">
        <v>39</v>
      </c>
      <c r="B170" s="3">
        <v>25000</v>
      </c>
      <c r="C170" s="4">
        <v>3.0000000000000001E-3</v>
      </c>
      <c r="D170" s="2">
        <f>C170*B170</f>
        <v>75</v>
      </c>
      <c r="E170" t="s">
        <v>111</v>
      </c>
      <c r="F170" t="s">
        <v>104</v>
      </c>
      <c r="G170" t="str">
        <f t="shared" si="6"/>
        <v>http://www.mouser.com/search/ProductDetail.aspx?R=0virtualkey0virtualkeyRC1206FR-071K8L</v>
      </c>
    </row>
    <row r="171" spans="1:7">
      <c r="A171" s="14" t="s">
        <v>23</v>
      </c>
      <c r="B171">
        <v>1</v>
      </c>
      <c r="C171" s="4">
        <v>0.1</v>
      </c>
      <c r="D171" s="2">
        <v>0.1</v>
      </c>
      <c r="E171" t="s">
        <v>24</v>
      </c>
      <c r="F171" t="s">
        <v>12</v>
      </c>
      <c r="G171" t="str">
        <f t="shared" si="6"/>
        <v>http://www.digikey.com/products/en?keywords=311-1.00KFRCT-ND</v>
      </c>
    </row>
    <row r="172" spans="1:7">
      <c r="A172" s="14" t="s">
        <v>23</v>
      </c>
      <c r="B172">
        <v>1</v>
      </c>
      <c r="C172" s="4">
        <v>0.1</v>
      </c>
      <c r="D172" s="2">
        <f>C172*B172</f>
        <v>0.1</v>
      </c>
      <c r="E172" t="s">
        <v>107</v>
      </c>
      <c r="F172" t="s">
        <v>104</v>
      </c>
      <c r="G172" t="str">
        <f t="shared" si="6"/>
        <v>http://www.mouser.com/search/ProductDetail.aspx?R=0virtualkey0virtualkeyRC1206FR-071KL</v>
      </c>
    </row>
    <row r="173" spans="1:7">
      <c r="A173" s="14" t="s">
        <v>23</v>
      </c>
      <c r="B173">
        <v>10</v>
      </c>
      <c r="C173" s="4">
        <v>2.9000000000000001E-2</v>
      </c>
      <c r="D173" s="2">
        <v>0.28999999999999998</v>
      </c>
      <c r="E173" t="s">
        <v>24</v>
      </c>
      <c r="F173" t="s">
        <v>12</v>
      </c>
      <c r="G173" t="str">
        <f t="shared" si="6"/>
        <v>http://www.digikey.com/products/en?keywords=311-1.00KFRCT-ND</v>
      </c>
    </row>
    <row r="174" spans="1:7">
      <c r="A174" s="14" t="s">
        <v>23</v>
      </c>
      <c r="B174">
        <v>10</v>
      </c>
      <c r="C174" s="4">
        <v>2.4E-2</v>
      </c>
      <c r="D174" s="2">
        <f>C174*B174</f>
        <v>0.24</v>
      </c>
      <c r="E174" t="s">
        <v>107</v>
      </c>
      <c r="F174" t="s">
        <v>104</v>
      </c>
      <c r="G174" t="str">
        <f t="shared" si="6"/>
        <v>http://www.mouser.com/search/ProductDetail.aspx?R=0virtualkey0virtualkeyRC1206FR-071KL</v>
      </c>
    </row>
    <row r="175" spans="1:7">
      <c r="A175" s="14" t="s">
        <v>23</v>
      </c>
      <c r="B175">
        <v>25</v>
      </c>
      <c r="C175" s="4">
        <v>2.12E-2</v>
      </c>
      <c r="D175" s="2">
        <v>0.53</v>
      </c>
      <c r="E175" t="s">
        <v>24</v>
      </c>
      <c r="F175" t="s">
        <v>12</v>
      </c>
      <c r="G175" t="str">
        <f t="shared" si="6"/>
        <v>http://www.digikey.com/products/en?keywords=311-1.00KFRCT-ND</v>
      </c>
    </row>
    <row r="176" spans="1:7">
      <c r="A176" s="14" t="s">
        <v>23</v>
      </c>
      <c r="B176">
        <v>50</v>
      </c>
      <c r="C176" s="4">
        <v>1.6E-2</v>
      </c>
      <c r="D176" s="2">
        <v>0.8</v>
      </c>
      <c r="E176" t="s">
        <v>24</v>
      </c>
      <c r="F176" t="s">
        <v>12</v>
      </c>
      <c r="G176" t="str">
        <f t="shared" si="6"/>
        <v>http://www.digikey.com/products/en?keywords=311-1.00KFRCT-ND</v>
      </c>
    </row>
    <row r="177" spans="1:7">
      <c r="A177" s="14" t="s">
        <v>23</v>
      </c>
      <c r="B177">
        <v>100</v>
      </c>
      <c r="C177" s="4">
        <v>1.18E-2</v>
      </c>
      <c r="D177" s="2">
        <v>1.18</v>
      </c>
      <c r="E177" t="s">
        <v>24</v>
      </c>
      <c r="F177" t="s">
        <v>12</v>
      </c>
      <c r="G177" t="str">
        <f t="shared" ref="G177:G208" si="7">IF(F177="Digi-Key","http://www.digikey.com/products/en?keywords="&amp;E177,"http://www.mouser.com/search/ProductDetail.aspx?R=0virtualkey0virtualkey"&amp;A177)</f>
        <v>http://www.digikey.com/products/en?keywords=311-1.00KFRCT-ND</v>
      </c>
    </row>
    <row r="178" spans="1:7">
      <c r="A178" s="14" t="s">
        <v>23</v>
      </c>
      <c r="B178">
        <v>100</v>
      </c>
      <c r="C178" s="4">
        <v>8.9999999999999993E-3</v>
      </c>
      <c r="D178" s="2">
        <f>C178*B178</f>
        <v>0.89999999999999991</v>
      </c>
      <c r="E178" t="s">
        <v>107</v>
      </c>
      <c r="F178" t="s">
        <v>104</v>
      </c>
      <c r="G178" t="str">
        <f t="shared" si="7"/>
        <v>http://www.mouser.com/search/ProductDetail.aspx?R=0virtualkey0virtualkeyRC1206FR-071KL</v>
      </c>
    </row>
    <row r="179" spans="1:7">
      <c r="A179" s="14" t="s">
        <v>23</v>
      </c>
      <c r="B179">
        <v>250</v>
      </c>
      <c r="C179" s="4">
        <v>8.9999999999999993E-3</v>
      </c>
      <c r="D179" s="2">
        <v>2.25</v>
      </c>
      <c r="E179" t="s">
        <v>24</v>
      </c>
      <c r="F179" t="s">
        <v>12</v>
      </c>
      <c r="G179" t="str">
        <f t="shared" si="7"/>
        <v>http://www.digikey.com/products/en?keywords=311-1.00KFRCT-ND</v>
      </c>
    </row>
    <row r="180" spans="1:7">
      <c r="A180" s="14" t="s">
        <v>23</v>
      </c>
      <c r="B180">
        <v>500</v>
      </c>
      <c r="C180" s="4">
        <v>7.1999999999999998E-3</v>
      </c>
      <c r="D180" s="2">
        <v>3.6</v>
      </c>
      <c r="E180" t="s">
        <v>24</v>
      </c>
      <c r="F180" t="s">
        <v>12</v>
      </c>
      <c r="G180" t="str">
        <f t="shared" si="7"/>
        <v>http://www.digikey.com/products/en?keywords=311-1.00KFRCT-ND</v>
      </c>
    </row>
    <row r="181" spans="1:7">
      <c r="A181" s="14" t="s">
        <v>23</v>
      </c>
      <c r="B181" s="3">
        <v>1000</v>
      </c>
      <c r="C181" s="4">
        <v>5.3E-3</v>
      </c>
      <c r="D181" s="2">
        <v>5.3</v>
      </c>
      <c r="E181" t="s">
        <v>24</v>
      </c>
      <c r="F181" t="s">
        <v>12</v>
      </c>
      <c r="G181" t="str">
        <f t="shared" si="7"/>
        <v>http://www.digikey.com/products/en?keywords=311-1.00KFRCT-ND</v>
      </c>
    </row>
    <row r="182" spans="1:7">
      <c r="A182" s="14" t="s">
        <v>23</v>
      </c>
      <c r="B182" s="3">
        <v>1000</v>
      </c>
      <c r="C182" s="4">
        <v>6.0000000000000001E-3</v>
      </c>
      <c r="D182" s="2">
        <f>C182*B182</f>
        <v>6</v>
      </c>
      <c r="E182" t="s">
        <v>107</v>
      </c>
      <c r="F182" t="s">
        <v>104</v>
      </c>
      <c r="G182" t="str">
        <f t="shared" si="7"/>
        <v>http://www.mouser.com/search/ProductDetail.aspx?R=0virtualkey0virtualkeyRC1206FR-071KL</v>
      </c>
    </row>
    <row r="183" spans="1:7">
      <c r="A183" s="14" t="s">
        <v>23</v>
      </c>
      <c r="B183" s="3">
        <v>5000</v>
      </c>
      <c r="C183" s="4">
        <v>4.0000000000000001E-3</v>
      </c>
      <c r="D183" s="2">
        <f>C183*B183</f>
        <v>20</v>
      </c>
      <c r="E183" t="s">
        <v>107</v>
      </c>
      <c r="F183" t="s">
        <v>104</v>
      </c>
      <c r="G183" t="str">
        <f t="shared" si="7"/>
        <v>http://www.mouser.com/search/ProductDetail.aspx?R=0virtualkey0virtualkeyRC1206FR-071KL</v>
      </c>
    </row>
    <row r="184" spans="1:7">
      <c r="A184" s="14" t="s">
        <v>23</v>
      </c>
      <c r="B184" s="3">
        <v>25000</v>
      </c>
      <c r="C184" s="4">
        <v>3.0000000000000001E-3</v>
      </c>
      <c r="D184" s="2">
        <f>C184*B184</f>
        <v>75</v>
      </c>
      <c r="E184" t="s">
        <v>107</v>
      </c>
      <c r="F184" t="s">
        <v>104</v>
      </c>
      <c r="G184" t="str">
        <f t="shared" si="7"/>
        <v>http://www.mouser.com/search/ProductDetail.aspx?R=0virtualkey0virtualkeyRC1206FR-071KL</v>
      </c>
    </row>
    <row r="185" spans="1:7">
      <c r="A185" s="14" t="s">
        <v>46</v>
      </c>
      <c r="B185">
        <v>1</v>
      </c>
      <c r="C185" s="4">
        <v>0.1</v>
      </c>
      <c r="D185" s="2">
        <v>0.1</v>
      </c>
      <c r="E185" t="s">
        <v>48</v>
      </c>
      <c r="F185" t="s">
        <v>12</v>
      </c>
      <c r="G185" t="str">
        <f t="shared" si="7"/>
        <v>http://www.digikey.com/products/en?keywords=311-3.60KFRCT-ND</v>
      </c>
    </row>
    <row r="186" spans="1:7">
      <c r="A186" s="14" t="s">
        <v>46</v>
      </c>
      <c r="B186">
        <v>1</v>
      </c>
      <c r="C186" s="4">
        <v>0.1</v>
      </c>
      <c r="D186" s="2">
        <f>C186*B186</f>
        <v>0.1</v>
      </c>
      <c r="E186" t="s">
        <v>113</v>
      </c>
      <c r="F186" t="s">
        <v>104</v>
      </c>
      <c r="G186" t="str">
        <f t="shared" si="7"/>
        <v>http://www.mouser.com/search/ProductDetail.aspx?R=0virtualkey0virtualkeyRC1206FR-073K6L</v>
      </c>
    </row>
    <row r="187" spans="1:7">
      <c r="A187" s="14" t="s">
        <v>46</v>
      </c>
      <c r="B187">
        <v>10</v>
      </c>
      <c r="C187" s="4">
        <v>2.9000000000000001E-2</v>
      </c>
      <c r="D187" s="2">
        <v>0.28999999999999998</v>
      </c>
      <c r="E187" t="s">
        <v>48</v>
      </c>
      <c r="F187" t="s">
        <v>12</v>
      </c>
      <c r="G187" t="str">
        <f t="shared" si="7"/>
        <v>http://www.digikey.com/products/en?keywords=311-3.60KFRCT-ND</v>
      </c>
    </row>
    <row r="188" spans="1:7">
      <c r="A188" s="14" t="s">
        <v>46</v>
      </c>
      <c r="B188">
        <v>10</v>
      </c>
      <c r="C188" s="4">
        <v>2.4E-2</v>
      </c>
      <c r="D188" s="2">
        <f>C188*B188</f>
        <v>0.24</v>
      </c>
      <c r="E188" t="s">
        <v>113</v>
      </c>
      <c r="F188" t="s">
        <v>104</v>
      </c>
      <c r="G188" t="str">
        <f t="shared" si="7"/>
        <v>http://www.mouser.com/search/ProductDetail.aspx?R=0virtualkey0virtualkeyRC1206FR-073K6L</v>
      </c>
    </row>
    <row r="189" spans="1:7">
      <c r="A189" s="14" t="s">
        <v>46</v>
      </c>
      <c r="B189">
        <v>25</v>
      </c>
      <c r="C189" s="4">
        <v>2.12E-2</v>
      </c>
      <c r="D189" s="2">
        <v>0.53</v>
      </c>
      <c r="E189" t="s">
        <v>48</v>
      </c>
      <c r="F189" t="s">
        <v>12</v>
      </c>
      <c r="G189" t="str">
        <f t="shared" si="7"/>
        <v>http://www.digikey.com/products/en?keywords=311-3.60KFRCT-ND</v>
      </c>
    </row>
    <row r="190" spans="1:7">
      <c r="A190" s="14" t="s">
        <v>46</v>
      </c>
      <c r="B190">
        <v>50</v>
      </c>
      <c r="C190" s="4">
        <v>1.6E-2</v>
      </c>
      <c r="D190" s="2">
        <v>0.8</v>
      </c>
      <c r="E190" t="s">
        <v>48</v>
      </c>
      <c r="F190" t="s">
        <v>12</v>
      </c>
      <c r="G190" t="str">
        <f t="shared" si="7"/>
        <v>http://www.digikey.com/products/en?keywords=311-3.60KFRCT-ND</v>
      </c>
    </row>
    <row r="191" spans="1:7">
      <c r="A191" s="14" t="s">
        <v>46</v>
      </c>
      <c r="B191">
        <v>100</v>
      </c>
      <c r="C191" s="4">
        <v>1.18E-2</v>
      </c>
      <c r="D191" s="2">
        <v>1.18</v>
      </c>
      <c r="E191" t="s">
        <v>48</v>
      </c>
      <c r="F191" t="s">
        <v>12</v>
      </c>
      <c r="G191" t="str">
        <f t="shared" si="7"/>
        <v>http://www.digikey.com/products/en?keywords=311-3.60KFRCT-ND</v>
      </c>
    </row>
    <row r="192" spans="1:7">
      <c r="A192" s="14" t="s">
        <v>46</v>
      </c>
      <c r="B192">
        <v>100</v>
      </c>
      <c r="C192" s="4">
        <v>8.9999999999999993E-3</v>
      </c>
      <c r="D192" s="2">
        <f>C192*B192</f>
        <v>0.89999999999999991</v>
      </c>
      <c r="E192" t="s">
        <v>113</v>
      </c>
      <c r="F192" t="s">
        <v>104</v>
      </c>
      <c r="G192" t="str">
        <f t="shared" si="7"/>
        <v>http://www.mouser.com/search/ProductDetail.aspx?R=0virtualkey0virtualkeyRC1206FR-073K6L</v>
      </c>
    </row>
    <row r="193" spans="1:7">
      <c r="A193" s="14" t="s">
        <v>46</v>
      </c>
      <c r="B193">
        <v>250</v>
      </c>
      <c r="C193" s="4">
        <v>8.9999999999999993E-3</v>
      </c>
      <c r="D193" s="2">
        <v>2.25</v>
      </c>
      <c r="E193" t="s">
        <v>48</v>
      </c>
      <c r="F193" t="s">
        <v>12</v>
      </c>
      <c r="G193" t="str">
        <f t="shared" si="7"/>
        <v>http://www.digikey.com/products/en?keywords=311-3.60KFRCT-ND</v>
      </c>
    </row>
    <row r="194" spans="1:7">
      <c r="A194" s="14" t="s">
        <v>46</v>
      </c>
      <c r="B194">
        <v>500</v>
      </c>
      <c r="C194" s="4">
        <v>7.1999999999999998E-3</v>
      </c>
      <c r="D194" s="2">
        <v>3.6</v>
      </c>
      <c r="E194" t="s">
        <v>48</v>
      </c>
      <c r="F194" t="s">
        <v>12</v>
      </c>
      <c r="G194" t="str">
        <f t="shared" si="7"/>
        <v>http://www.digikey.com/products/en?keywords=311-3.60KFRCT-ND</v>
      </c>
    </row>
    <row r="195" spans="1:7">
      <c r="A195" s="14" t="s">
        <v>46</v>
      </c>
      <c r="B195" s="3">
        <v>1000</v>
      </c>
      <c r="C195" s="4">
        <v>5.3E-3</v>
      </c>
      <c r="D195" s="2">
        <v>5.3</v>
      </c>
      <c r="E195" t="s">
        <v>48</v>
      </c>
      <c r="F195" t="s">
        <v>12</v>
      </c>
      <c r="G195" t="str">
        <f t="shared" si="7"/>
        <v>http://www.digikey.com/products/en?keywords=311-3.60KFRCT-ND</v>
      </c>
    </row>
    <row r="196" spans="1:7">
      <c r="A196" s="14" t="s">
        <v>46</v>
      </c>
      <c r="B196" s="3">
        <v>1000</v>
      </c>
      <c r="C196" s="4">
        <v>6.0000000000000001E-3</v>
      </c>
      <c r="D196" s="2">
        <f>C196*B196</f>
        <v>6</v>
      </c>
      <c r="E196" t="s">
        <v>113</v>
      </c>
      <c r="F196" t="s">
        <v>104</v>
      </c>
      <c r="G196" t="str">
        <f t="shared" si="7"/>
        <v>http://www.mouser.com/search/ProductDetail.aspx?R=0virtualkey0virtualkeyRC1206FR-073K6L</v>
      </c>
    </row>
    <row r="197" spans="1:7">
      <c r="A197" s="14" t="s">
        <v>46</v>
      </c>
      <c r="B197" s="3">
        <v>5000</v>
      </c>
      <c r="C197" s="4">
        <v>4.0000000000000001E-3</v>
      </c>
      <c r="D197" s="2">
        <f>C197*B197</f>
        <v>20</v>
      </c>
      <c r="E197" t="s">
        <v>113</v>
      </c>
      <c r="F197" t="s">
        <v>104</v>
      </c>
      <c r="G197" t="str">
        <f t="shared" si="7"/>
        <v>http://www.mouser.com/search/ProductDetail.aspx?R=0virtualkey0virtualkeyRC1206FR-073K6L</v>
      </c>
    </row>
    <row r="198" spans="1:7">
      <c r="A198" s="14" t="s">
        <v>46</v>
      </c>
      <c r="B198" s="3">
        <v>25000</v>
      </c>
      <c r="C198" s="4">
        <v>3.0000000000000001E-3</v>
      </c>
      <c r="D198" s="2">
        <f>C198*B198</f>
        <v>75</v>
      </c>
      <c r="E198" t="s">
        <v>113</v>
      </c>
      <c r="F198" t="s">
        <v>104</v>
      </c>
      <c r="G198" t="str">
        <f t="shared" si="7"/>
        <v>http://www.mouser.com/search/ProductDetail.aspx?R=0virtualkey0virtualkeyRC1206FR-073K6L</v>
      </c>
    </row>
    <row r="199" spans="1:7">
      <c r="A199" s="14" t="s">
        <v>15</v>
      </c>
      <c r="B199">
        <v>1</v>
      </c>
      <c r="C199" s="4">
        <v>0.1</v>
      </c>
      <c r="D199" s="2">
        <v>0.1</v>
      </c>
      <c r="E199" s="5" t="s">
        <v>16</v>
      </c>
      <c r="F199" t="s">
        <v>12</v>
      </c>
      <c r="G199" t="str">
        <f t="shared" si="7"/>
        <v>http://www.digikey.com/products/en?keywords=311-300ERCT-ND</v>
      </c>
    </row>
    <row r="200" spans="1:7">
      <c r="A200" s="14" t="s">
        <v>15</v>
      </c>
      <c r="B200">
        <v>1</v>
      </c>
      <c r="C200" s="4">
        <v>0.1</v>
      </c>
      <c r="D200" s="2">
        <f>C200*B200</f>
        <v>0.1</v>
      </c>
      <c r="E200" t="s">
        <v>105</v>
      </c>
      <c r="F200" t="s">
        <v>104</v>
      </c>
      <c r="G200" t="str">
        <f t="shared" si="7"/>
        <v>http://www.mouser.com/search/ProductDetail.aspx?R=0virtualkey0virtualkeyRC1206JR-07300RL</v>
      </c>
    </row>
    <row r="201" spans="1:7">
      <c r="A201" s="14" t="s">
        <v>15</v>
      </c>
      <c r="B201">
        <v>10</v>
      </c>
      <c r="C201" s="4">
        <v>2.1999999999999999E-2</v>
      </c>
      <c r="D201" s="2">
        <v>0.22</v>
      </c>
      <c r="E201" s="5" t="s">
        <v>16</v>
      </c>
      <c r="F201" t="s">
        <v>12</v>
      </c>
      <c r="G201" t="str">
        <f t="shared" si="7"/>
        <v>http://www.digikey.com/products/en?keywords=311-300ERCT-ND</v>
      </c>
    </row>
    <row r="202" spans="1:7">
      <c r="A202" s="14" t="s">
        <v>15</v>
      </c>
      <c r="B202">
        <v>10</v>
      </c>
      <c r="C202" s="4">
        <v>1.7999999999999999E-2</v>
      </c>
      <c r="D202" s="2">
        <f>C202*B202</f>
        <v>0.18</v>
      </c>
      <c r="E202" t="s">
        <v>105</v>
      </c>
      <c r="F202" t="s">
        <v>104</v>
      </c>
      <c r="G202" t="str">
        <f t="shared" si="7"/>
        <v>http://www.mouser.com/search/ProductDetail.aspx?R=0virtualkey0virtualkeyRC1206JR-07300RL</v>
      </c>
    </row>
    <row r="203" spans="1:7">
      <c r="A203" s="14" t="s">
        <v>15</v>
      </c>
      <c r="B203">
        <v>25</v>
      </c>
      <c r="C203" s="4">
        <v>1.6E-2</v>
      </c>
      <c r="D203" s="2">
        <v>0.4</v>
      </c>
      <c r="E203" s="5" t="s">
        <v>16</v>
      </c>
      <c r="F203" t="s">
        <v>12</v>
      </c>
      <c r="G203" t="str">
        <f t="shared" si="7"/>
        <v>http://www.digikey.com/products/en?keywords=311-300ERCT-ND</v>
      </c>
    </row>
    <row r="204" spans="1:7">
      <c r="A204" s="14" t="s">
        <v>15</v>
      </c>
      <c r="B204">
        <v>50</v>
      </c>
      <c r="C204" s="4">
        <v>1.2200000000000001E-2</v>
      </c>
      <c r="D204" s="2">
        <v>0.61</v>
      </c>
      <c r="E204" s="5" t="s">
        <v>16</v>
      </c>
      <c r="F204" t="s">
        <v>12</v>
      </c>
      <c r="G204" t="str">
        <f t="shared" si="7"/>
        <v>http://www.digikey.com/products/en?keywords=311-300ERCT-ND</v>
      </c>
    </row>
    <row r="205" spans="1:7">
      <c r="A205" s="14" t="s">
        <v>15</v>
      </c>
      <c r="B205">
        <v>100</v>
      </c>
      <c r="C205" s="4">
        <v>8.9999999999999993E-3</v>
      </c>
      <c r="D205" s="2">
        <v>0.9</v>
      </c>
      <c r="E205" s="5" t="s">
        <v>16</v>
      </c>
      <c r="F205" t="s">
        <v>12</v>
      </c>
      <c r="G205" t="str">
        <f t="shared" si="7"/>
        <v>http://www.digikey.com/products/en?keywords=311-300ERCT-ND</v>
      </c>
    </row>
    <row r="206" spans="1:7">
      <c r="A206" s="14" t="s">
        <v>15</v>
      </c>
      <c r="B206">
        <v>100</v>
      </c>
      <c r="C206" s="4">
        <v>7.0000000000000001E-3</v>
      </c>
      <c r="D206" s="2">
        <f>C206*B206</f>
        <v>0.70000000000000007</v>
      </c>
      <c r="E206" t="s">
        <v>105</v>
      </c>
      <c r="F206" t="s">
        <v>104</v>
      </c>
      <c r="G206" t="str">
        <f t="shared" si="7"/>
        <v>http://www.mouser.com/search/ProductDetail.aspx?R=0virtualkey0virtualkeyRC1206JR-07300RL</v>
      </c>
    </row>
    <row r="207" spans="1:7">
      <c r="A207" s="14" t="s">
        <v>15</v>
      </c>
      <c r="B207">
        <v>250</v>
      </c>
      <c r="C207" s="4">
        <v>6.8399999999999997E-3</v>
      </c>
      <c r="D207" s="2">
        <v>1.71</v>
      </c>
      <c r="E207" s="5" t="s">
        <v>16</v>
      </c>
      <c r="F207" t="s">
        <v>12</v>
      </c>
      <c r="G207" t="str">
        <f t="shared" si="7"/>
        <v>http://www.digikey.com/products/en?keywords=311-300ERCT-ND</v>
      </c>
    </row>
    <row r="208" spans="1:7">
      <c r="A208" s="14" t="s">
        <v>15</v>
      </c>
      <c r="B208">
        <v>500</v>
      </c>
      <c r="C208" s="4">
        <v>5.4799999999999996E-3</v>
      </c>
      <c r="D208" s="2">
        <v>2.74</v>
      </c>
      <c r="E208" s="5" t="s">
        <v>16</v>
      </c>
      <c r="F208" t="s">
        <v>12</v>
      </c>
      <c r="G208" t="str">
        <f t="shared" si="7"/>
        <v>http://www.digikey.com/products/en?keywords=311-300ERCT-ND</v>
      </c>
    </row>
    <row r="209" spans="1:7">
      <c r="A209" s="14" t="s">
        <v>15</v>
      </c>
      <c r="B209" s="3">
        <v>1000</v>
      </c>
      <c r="C209" s="4">
        <v>4.0299999999999997E-3</v>
      </c>
      <c r="D209" s="2">
        <v>4</v>
      </c>
      <c r="E209" s="5" t="s">
        <v>16</v>
      </c>
      <c r="F209" t="s">
        <v>12</v>
      </c>
      <c r="G209" t="str">
        <f t="shared" ref="G209:G212" si="8">IF(F209="Digi-Key","http://www.digikey.com/products/en?keywords="&amp;E209,"http://www.mouser.com/search/ProductDetail.aspx?R=0virtualkey0virtualkey"&amp;A209)</f>
        <v>http://www.digikey.com/products/en?keywords=311-300ERCT-ND</v>
      </c>
    </row>
    <row r="210" spans="1:7">
      <c r="A210" s="14" t="s">
        <v>15</v>
      </c>
      <c r="B210" s="3">
        <v>1000</v>
      </c>
      <c r="C210" s="4">
        <v>4.0000000000000001E-3</v>
      </c>
      <c r="D210" s="2">
        <f>C210*B210</f>
        <v>4</v>
      </c>
      <c r="E210" t="s">
        <v>105</v>
      </c>
      <c r="F210" t="s">
        <v>104</v>
      </c>
      <c r="G210" t="str">
        <f t="shared" si="8"/>
        <v>http://www.mouser.com/search/ProductDetail.aspx?R=0virtualkey0virtualkeyRC1206JR-07300RL</v>
      </c>
    </row>
    <row r="211" spans="1:7">
      <c r="A211" s="14" t="s">
        <v>15</v>
      </c>
      <c r="B211" s="3">
        <v>5000</v>
      </c>
      <c r="C211" s="4">
        <v>3.0000000000000001E-3</v>
      </c>
      <c r="D211" s="2">
        <f>C211*B211</f>
        <v>15</v>
      </c>
      <c r="E211" t="s">
        <v>105</v>
      </c>
      <c r="F211" t="s">
        <v>104</v>
      </c>
      <c r="G211" t="str">
        <f t="shared" si="8"/>
        <v>http://www.mouser.com/search/ProductDetail.aspx?R=0virtualkey0virtualkeyRC1206JR-07300RL</v>
      </c>
    </row>
    <row r="212" spans="1:7">
      <c r="A212" s="14" t="s">
        <v>15</v>
      </c>
      <c r="B212" s="3">
        <v>100000</v>
      </c>
      <c r="C212" s="4">
        <v>2E-3</v>
      </c>
      <c r="D212" s="2">
        <f>C212*B212</f>
        <v>200</v>
      </c>
      <c r="E212" t="s">
        <v>105</v>
      </c>
      <c r="F212" t="s">
        <v>104</v>
      </c>
      <c r="G212" t="str">
        <f t="shared" si="8"/>
        <v>http://www.mouser.com/search/ProductDetail.aspx?R=0virtualkey0virtualkeyRC1206JR-07300RL</v>
      </c>
    </row>
  </sheetData>
  <sortState ref="A2:G212">
    <sortCondition ref="A2:A1000"/>
    <sortCondition ref="B2:B1000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26"/>
  <sheetViews>
    <sheetView tabSelected="1" workbookViewId="0">
      <selection activeCell="D16" sqref="D16"/>
    </sheetView>
  </sheetViews>
  <sheetFormatPr baseColWidth="10" defaultRowHeight="15" x14ac:dyDescent="0"/>
  <cols>
    <col min="1" max="1" width="24.1640625" bestFit="1" customWidth="1"/>
    <col min="2" max="2" width="23.33203125" bestFit="1" customWidth="1"/>
    <col min="3" max="3" width="9" bestFit="1" customWidth="1"/>
    <col min="4" max="4" width="13.5" customWidth="1"/>
    <col min="6" max="6" width="9.5" bestFit="1" customWidth="1"/>
    <col min="7" max="7" width="35.83203125" bestFit="1" customWidth="1"/>
    <col min="8" max="8" width="6.1640625" bestFit="1" customWidth="1"/>
    <col min="9" max="9" width="7.6640625" bestFit="1" customWidth="1"/>
    <col min="10" max="10" width="8.5" bestFit="1" customWidth="1"/>
    <col min="11" max="11" width="9" bestFit="1" customWidth="1"/>
    <col min="12" max="12" width="23.33203125" bestFit="1" customWidth="1"/>
    <col min="13" max="13" width="21" bestFit="1" customWidth="1"/>
    <col min="14" max="14" width="18" bestFit="1" customWidth="1"/>
    <col min="15" max="15" width="8.33203125" bestFit="1" customWidth="1"/>
    <col min="16" max="16" width="84.6640625" bestFit="1" customWidth="1"/>
  </cols>
  <sheetData>
    <row r="1" spans="1:35">
      <c r="A1" t="s">
        <v>192</v>
      </c>
      <c r="F1" s="16" t="s">
        <v>0</v>
      </c>
      <c r="G1" s="16" t="s">
        <v>1</v>
      </c>
      <c r="H1" s="11" t="s">
        <v>2</v>
      </c>
      <c r="I1" s="13" t="s">
        <v>70</v>
      </c>
      <c r="J1" s="16" t="s">
        <v>58</v>
      </c>
      <c r="K1" s="16" t="s">
        <v>59</v>
      </c>
      <c r="L1" s="16" t="s">
        <v>7</v>
      </c>
      <c r="M1" s="16" t="s">
        <v>3</v>
      </c>
      <c r="N1" s="16" t="s">
        <v>4</v>
      </c>
      <c r="O1" s="16" t="s">
        <v>5</v>
      </c>
      <c r="P1" s="16" t="s">
        <v>6</v>
      </c>
    </row>
    <row r="2" spans="1:35">
      <c r="A2" t="s">
        <v>71</v>
      </c>
      <c r="B2" t="s">
        <v>193</v>
      </c>
      <c r="C2" t="s">
        <v>72</v>
      </c>
      <c r="F2" s="16" t="s">
        <v>21</v>
      </c>
      <c r="G2" s="16" t="s">
        <v>22</v>
      </c>
      <c r="H2" s="11">
        <v>1</v>
      </c>
      <c r="I2" s="13">
        <v>30</v>
      </c>
      <c r="J2" s="16">
        <v>5.3E-3</v>
      </c>
      <c r="K2" s="2">
        <f>J2*I2</f>
        <v>0.159</v>
      </c>
      <c r="L2" s="16" t="s">
        <v>24</v>
      </c>
      <c r="M2" s="16" t="s">
        <v>23</v>
      </c>
      <c r="N2" s="16" t="s">
        <v>11</v>
      </c>
      <c r="O2" s="16" t="s">
        <v>12</v>
      </c>
      <c r="P2" s="16" t="s">
        <v>136</v>
      </c>
    </row>
    <row r="3" spans="1:35">
      <c r="A3" t="s">
        <v>194</v>
      </c>
      <c r="B3" s="10" t="s">
        <v>79</v>
      </c>
      <c r="C3" s="2">
        <v>141</v>
      </c>
      <c r="F3" s="16" t="s">
        <v>8</v>
      </c>
      <c r="G3" s="16" t="s">
        <v>9</v>
      </c>
      <c r="H3" s="11">
        <v>1</v>
      </c>
      <c r="I3" s="13">
        <v>30</v>
      </c>
      <c r="J3" s="16">
        <v>5.3E-3</v>
      </c>
      <c r="K3" s="2">
        <f t="shared" ref="K3:K17" si="0">J3*I3</f>
        <v>0.159</v>
      </c>
      <c r="L3" s="16" t="s">
        <v>13</v>
      </c>
      <c r="M3" s="16" t="s">
        <v>10</v>
      </c>
      <c r="N3" s="16" t="s">
        <v>11</v>
      </c>
      <c r="O3" s="16" t="s">
        <v>12</v>
      </c>
      <c r="P3" s="16" t="s">
        <v>134</v>
      </c>
    </row>
    <row r="4" spans="1:35">
      <c r="A4" s="8" t="s">
        <v>122</v>
      </c>
      <c r="B4" s="10" t="s">
        <v>195</v>
      </c>
      <c r="C4">
        <v>39.99</v>
      </c>
      <c r="D4" s="16" t="s">
        <v>121</v>
      </c>
      <c r="F4" s="16" t="s">
        <v>37</v>
      </c>
      <c r="G4" s="16" t="s">
        <v>38</v>
      </c>
      <c r="H4" s="11">
        <v>1</v>
      </c>
      <c r="I4" s="13">
        <v>30</v>
      </c>
      <c r="J4" s="16">
        <v>5.3E-3</v>
      </c>
      <c r="K4" s="2">
        <f t="shared" si="0"/>
        <v>0.159</v>
      </c>
      <c r="L4" s="16" t="s">
        <v>40</v>
      </c>
      <c r="M4" s="16" t="s">
        <v>39</v>
      </c>
      <c r="N4" s="16" t="s">
        <v>11</v>
      </c>
      <c r="O4" s="16" t="s">
        <v>12</v>
      </c>
      <c r="P4" s="16" t="s">
        <v>140</v>
      </c>
    </row>
    <row r="5" spans="1:35">
      <c r="A5" s="8" t="s">
        <v>94</v>
      </c>
      <c r="B5" s="8" t="s">
        <v>96</v>
      </c>
      <c r="C5" s="9">
        <v>15</v>
      </c>
      <c r="D5" s="16" t="s">
        <v>95</v>
      </c>
      <c r="E5" s="16"/>
      <c r="F5" s="16" t="s">
        <v>44</v>
      </c>
      <c r="G5" s="16" t="s">
        <v>45</v>
      </c>
      <c r="H5" s="11">
        <v>1</v>
      </c>
      <c r="I5" s="13">
        <v>60</v>
      </c>
      <c r="J5" s="16">
        <v>5.3E-3</v>
      </c>
      <c r="K5" s="2">
        <f t="shared" si="0"/>
        <v>0.318</v>
      </c>
      <c r="L5" s="16" t="s">
        <v>48</v>
      </c>
      <c r="M5" s="16" t="s">
        <v>46</v>
      </c>
      <c r="N5" s="16" t="s">
        <v>11</v>
      </c>
      <c r="O5" s="16" t="s">
        <v>12</v>
      </c>
      <c r="P5" s="16" t="s">
        <v>47</v>
      </c>
    </row>
    <row r="6" spans="1:35">
      <c r="A6" s="8" t="s">
        <v>124</v>
      </c>
      <c r="B6" s="8"/>
      <c r="C6" s="9">
        <v>60</v>
      </c>
      <c r="F6" s="16" t="s">
        <v>14</v>
      </c>
      <c r="G6" s="1" t="s">
        <v>55</v>
      </c>
      <c r="H6" s="11">
        <v>1</v>
      </c>
      <c r="I6" s="13">
        <v>30</v>
      </c>
      <c r="J6" s="16">
        <v>4.0000000000000001E-3</v>
      </c>
      <c r="K6" s="2">
        <f t="shared" si="0"/>
        <v>0.12</v>
      </c>
      <c r="L6" s="16" t="s">
        <v>16</v>
      </c>
      <c r="M6" s="16" t="s">
        <v>15</v>
      </c>
      <c r="N6" s="16" t="s">
        <v>11</v>
      </c>
      <c r="O6" s="16" t="s">
        <v>12</v>
      </c>
      <c r="P6" s="16" t="s">
        <v>131</v>
      </c>
    </row>
    <row r="7" spans="1:35">
      <c r="C7" s="7">
        <f>SUM(C3:C6)</f>
        <v>255.99</v>
      </c>
      <c r="F7" s="16" t="s">
        <v>61</v>
      </c>
      <c r="G7" s="16" t="s">
        <v>49</v>
      </c>
      <c r="H7" s="11">
        <v>4</v>
      </c>
      <c r="I7" s="13">
        <v>120</v>
      </c>
      <c r="J7" s="20">
        <v>0.2316</v>
      </c>
      <c r="K7" s="2">
        <f t="shared" si="0"/>
        <v>27.792000000000002</v>
      </c>
      <c r="L7" s="16" t="s">
        <v>129</v>
      </c>
      <c r="M7" s="15">
        <v>8197</v>
      </c>
      <c r="N7" s="16" t="s">
        <v>50</v>
      </c>
      <c r="O7" s="16" t="s">
        <v>12</v>
      </c>
      <c r="P7" s="16" t="s">
        <v>130</v>
      </c>
    </row>
    <row r="8" spans="1:35">
      <c r="F8" s="16" t="s">
        <v>33</v>
      </c>
      <c r="G8" s="16" t="s">
        <v>30</v>
      </c>
      <c r="H8" s="11">
        <v>1</v>
      </c>
      <c r="I8" s="13">
        <v>30</v>
      </c>
      <c r="J8" s="16">
        <v>4.2000000000000003E-2</v>
      </c>
      <c r="K8" s="2">
        <f t="shared" si="0"/>
        <v>1.26</v>
      </c>
      <c r="L8" s="16" t="s">
        <v>36</v>
      </c>
      <c r="M8" s="16" t="s">
        <v>34</v>
      </c>
      <c r="N8" s="16" t="s">
        <v>35</v>
      </c>
      <c r="O8" s="16" t="s">
        <v>12</v>
      </c>
      <c r="P8" s="16" t="s">
        <v>139</v>
      </c>
    </row>
    <row r="9" spans="1:35">
      <c r="F9" s="16" t="s">
        <v>17</v>
      </c>
      <c r="G9" s="16" t="s">
        <v>18</v>
      </c>
      <c r="H9" s="11">
        <v>1</v>
      </c>
      <c r="I9" s="13">
        <v>30</v>
      </c>
      <c r="J9" s="22">
        <v>0.28499999999999998</v>
      </c>
      <c r="K9" s="2">
        <f t="shared" si="0"/>
        <v>8.5499999999999989</v>
      </c>
      <c r="L9" s="16" t="s">
        <v>20</v>
      </c>
      <c r="M9" s="16" t="s">
        <v>18</v>
      </c>
      <c r="N9" s="16" t="s">
        <v>19</v>
      </c>
      <c r="O9" s="16" t="s">
        <v>12</v>
      </c>
      <c r="P9" s="16" t="s">
        <v>135</v>
      </c>
    </row>
    <row r="10" spans="1:35">
      <c r="F10" s="16" t="s">
        <v>52</v>
      </c>
      <c r="G10" s="16" t="s">
        <v>115</v>
      </c>
      <c r="H10" s="11">
        <v>1</v>
      </c>
      <c r="I10" s="13">
        <v>30</v>
      </c>
      <c r="J10" s="16">
        <v>0.23</v>
      </c>
      <c r="K10" s="2">
        <f t="shared" si="0"/>
        <v>6.9</v>
      </c>
      <c r="L10" s="16" t="s">
        <v>109</v>
      </c>
      <c r="M10" s="1" t="s">
        <v>53</v>
      </c>
      <c r="N10" s="16" t="s">
        <v>31</v>
      </c>
      <c r="O10" s="16" t="s">
        <v>104</v>
      </c>
      <c r="P10" s="16" t="s">
        <v>138</v>
      </c>
    </row>
    <row r="11" spans="1:35">
      <c r="F11" s="16" t="s">
        <v>41</v>
      </c>
      <c r="G11" s="16" t="s">
        <v>116</v>
      </c>
      <c r="H11" s="11">
        <v>1</v>
      </c>
      <c r="I11" s="13">
        <v>30</v>
      </c>
      <c r="J11" s="16">
        <v>0.32</v>
      </c>
      <c r="K11" s="2">
        <f t="shared" si="0"/>
        <v>9.6</v>
      </c>
      <c r="L11" s="16" t="s">
        <v>118</v>
      </c>
      <c r="M11" s="16" t="s">
        <v>116</v>
      </c>
      <c r="N11" s="16" t="s">
        <v>119</v>
      </c>
      <c r="O11" s="16" t="s">
        <v>104</v>
      </c>
      <c r="P11" s="16" t="s">
        <v>141</v>
      </c>
    </row>
    <row r="12" spans="1:35">
      <c r="F12" s="16" t="s">
        <v>25</v>
      </c>
      <c r="G12" s="16" t="s">
        <v>26</v>
      </c>
      <c r="H12" s="11">
        <v>1</v>
      </c>
      <c r="I12" s="13">
        <v>30</v>
      </c>
      <c r="J12" s="21">
        <v>0.13300000000000001</v>
      </c>
      <c r="K12" s="2">
        <f t="shared" si="0"/>
        <v>3.99</v>
      </c>
      <c r="L12" s="16" t="s">
        <v>108</v>
      </c>
      <c r="M12" s="16" t="s">
        <v>27</v>
      </c>
      <c r="N12" s="16" t="s">
        <v>28</v>
      </c>
      <c r="O12" s="16" t="s">
        <v>104</v>
      </c>
      <c r="P12" s="16" t="s">
        <v>137</v>
      </c>
    </row>
    <row r="13" spans="1:35">
      <c r="F13" s="16" t="s">
        <v>148</v>
      </c>
      <c r="G13" s="1" t="s">
        <v>153</v>
      </c>
      <c r="H13" s="11">
        <v>2</v>
      </c>
      <c r="I13" s="13">
        <v>1</v>
      </c>
      <c r="J13" s="2">
        <v>1.63</v>
      </c>
      <c r="K13" s="2">
        <f t="shared" si="0"/>
        <v>1.63</v>
      </c>
      <c r="L13" s="16" t="s">
        <v>150</v>
      </c>
      <c r="M13" s="16" t="s">
        <v>151</v>
      </c>
      <c r="N13" s="16" t="s">
        <v>35</v>
      </c>
      <c r="O13" s="16" t="s">
        <v>12</v>
      </c>
      <c r="P13" s="16" t="s">
        <v>157</v>
      </c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</row>
    <row r="14" spans="1:35">
      <c r="F14" s="16" t="s">
        <v>149</v>
      </c>
      <c r="G14" s="16" t="s">
        <v>154</v>
      </c>
      <c r="H14" s="11">
        <v>2</v>
      </c>
      <c r="I14" s="13">
        <v>1</v>
      </c>
      <c r="J14" s="2">
        <v>1.63</v>
      </c>
      <c r="K14" s="2">
        <f t="shared" si="0"/>
        <v>1.63</v>
      </c>
      <c r="L14" s="16" t="s">
        <v>155</v>
      </c>
      <c r="M14" s="16" t="s">
        <v>152</v>
      </c>
      <c r="N14" s="16" t="s">
        <v>35</v>
      </c>
      <c r="O14" s="16" t="s">
        <v>12</v>
      </c>
      <c r="P14" s="16" t="s">
        <v>156</v>
      </c>
    </row>
    <row r="15" spans="1:35">
      <c r="F15" s="16" t="s">
        <v>158</v>
      </c>
      <c r="G15" s="16" t="s">
        <v>184</v>
      </c>
      <c r="H15" s="11">
        <v>5</v>
      </c>
      <c r="I15" s="13">
        <v>100</v>
      </c>
      <c r="J15" s="2">
        <v>0.20799999999999999</v>
      </c>
      <c r="K15" s="2">
        <f t="shared" si="0"/>
        <v>20.8</v>
      </c>
      <c r="L15" s="16" t="s">
        <v>186</v>
      </c>
      <c r="M15" s="1" t="s">
        <v>185</v>
      </c>
      <c r="N15" s="16" t="s">
        <v>183</v>
      </c>
      <c r="O15" s="16" t="s">
        <v>12</v>
      </c>
      <c r="P15" s="16" t="s">
        <v>187</v>
      </c>
    </row>
    <row r="16" spans="1:35">
      <c r="F16" s="16" t="s">
        <v>159</v>
      </c>
      <c r="G16" s="16" t="s">
        <v>163</v>
      </c>
      <c r="H16" s="11">
        <v>1</v>
      </c>
      <c r="I16" s="13">
        <v>25</v>
      </c>
      <c r="J16" s="2">
        <v>0.112</v>
      </c>
      <c r="K16" s="2">
        <f t="shared" si="0"/>
        <v>2.8000000000000003</v>
      </c>
      <c r="L16" s="16" t="s">
        <v>160</v>
      </c>
      <c r="M16" s="16" t="s">
        <v>161</v>
      </c>
      <c r="N16" s="16" t="s">
        <v>162</v>
      </c>
      <c r="O16" s="16" t="s">
        <v>12</v>
      </c>
      <c r="P16" s="16" t="s">
        <v>142</v>
      </c>
    </row>
    <row r="17" spans="1:16">
      <c r="F17" s="16" t="s">
        <v>164</v>
      </c>
      <c r="G17" s="16" t="s">
        <v>165</v>
      </c>
      <c r="H17" s="11">
        <v>3</v>
      </c>
      <c r="I17" s="13">
        <v>100</v>
      </c>
      <c r="J17" s="2">
        <v>5.74E-2</v>
      </c>
      <c r="K17" s="2">
        <f t="shared" si="0"/>
        <v>5.74</v>
      </c>
      <c r="L17" s="16" t="s">
        <v>166</v>
      </c>
      <c r="M17" s="1" t="s">
        <v>167</v>
      </c>
      <c r="N17" s="16" t="s">
        <v>162</v>
      </c>
      <c r="O17" s="16" t="s">
        <v>12</v>
      </c>
      <c r="P17" s="16" t="s">
        <v>143</v>
      </c>
    </row>
    <row r="18" spans="1:16">
      <c r="F18" s="16" t="s">
        <v>168</v>
      </c>
      <c r="G18" s="16" t="s">
        <v>173</v>
      </c>
      <c r="H18" s="11">
        <v>3</v>
      </c>
      <c r="I18" s="13">
        <v>1</v>
      </c>
      <c r="J18" s="2">
        <v>67.33</v>
      </c>
      <c r="K18" s="2">
        <v>67.33</v>
      </c>
      <c r="L18" s="16" t="s">
        <v>171</v>
      </c>
      <c r="M18" s="16" t="s">
        <v>171</v>
      </c>
      <c r="N18" s="16" t="s">
        <v>172</v>
      </c>
      <c r="O18" s="16" t="s">
        <v>172</v>
      </c>
      <c r="P18" s="16" t="s">
        <v>144</v>
      </c>
    </row>
    <row r="19" spans="1:16">
      <c r="F19" s="16" t="s">
        <v>169</v>
      </c>
      <c r="G19" s="16" t="s">
        <v>174</v>
      </c>
      <c r="H19" s="11">
        <v>3</v>
      </c>
      <c r="I19" s="13">
        <v>1</v>
      </c>
      <c r="J19" s="2">
        <v>67.33</v>
      </c>
      <c r="K19" s="2">
        <v>67.33</v>
      </c>
      <c r="L19" s="16" t="s">
        <v>170</v>
      </c>
      <c r="M19" s="16" t="s">
        <v>170</v>
      </c>
      <c r="N19" s="16" t="s">
        <v>172</v>
      </c>
      <c r="O19" s="16" t="s">
        <v>172</v>
      </c>
      <c r="P19" s="16" t="s">
        <v>145</v>
      </c>
    </row>
    <row r="20" spans="1:16">
      <c r="F20" s="16" t="s">
        <v>175</v>
      </c>
      <c r="G20" s="16" t="s">
        <v>182</v>
      </c>
      <c r="H20" s="11">
        <v>1</v>
      </c>
      <c r="I20" s="13">
        <v>1000</v>
      </c>
      <c r="J20" s="2">
        <v>4.3999999999999997E-2</v>
      </c>
      <c r="K20" s="2">
        <v>44</v>
      </c>
      <c r="L20" s="16" t="s">
        <v>181</v>
      </c>
      <c r="M20" s="16" t="s">
        <v>181</v>
      </c>
      <c r="N20" s="16" t="s">
        <v>180</v>
      </c>
      <c r="O20" s="16" t="s">
        <v>180</v>
      </c>
      <c r="P20" s="16" t="s">
        <v>126</v>
      </c>
    </row>
    <row r="21" spans="1:16" s="16" customFormat="1">
      <c r="F21" s="16" t="s">
        <v>176</v>
      </c>
      <c r="G21" s="16" t="s">
        <v>182</v>
      </c>
      <c r="H21" s="11">
        <v>1</v>
      </c>
      <c r="I21" s="13">
        <v>1000</v>
      </c>
      <c r="J21" s="2">
        <v>3.3000000000000002E-2</v>
      </c>
      <c r="K21" s="2">
        <v>33</v>
      </c>
      <c r="L21" s="16" t="s">
        <v>179</v>
      </c>
      <c r="M21" s="16" t="s">
        <v>179</v>
      </c>
      <c r="N21" s="16" t="s">
        <v>180</v>
      </c>
      <c r="O21" s="16" t="s">
        <v>180</v>
      </c>
      <c r="P21" s="16" t="s">
        <v>178</v>
      </c>
    </row>
    <row r="22" spans="1:16">
      <c r="F22" s="19" t="s">
        <v>92</v>
      </c>
      <c r="G22" s="19" t="s">
        <v>92</v>
      </c>
      <c r="H22" s="11">
        <v>1</v>
      </c>
      <c r="I22" s="13">
        <v>1</v>
      </c>
      <c r="J22" s="2">
        <v>98.78</v>
      </c>
      <c r="K22" s="2">
        <v>44</v>
      </c>
      <c r="L22" t="s">
        <v>93</v>
      </c>
      <c r="M22" s="14">
        <v>1993881</v>
      </c>
      <c r="N22" t="s">
        <v>196</v>
      </c>
      <c r="O22" s="16" t="s">
        <v>12</v>
      </c>
      <c r="P22" t="s">
        <v>97</v>
      </c>
    </row>
    <row r="23" spans="1:16">
      <c r="F23" s="16"/>
      <c r="G23" s="16"/>
      <c r="H23" s="16"/>
      <c r="I23" s="16"/>
      <c r="J23" s="16"/>
      <c r="K23" s="7">
        <f>SUM(K2:K22)</f>
        <v>347.267</v>
      </c>
    </row>
    <row r="24" spans="1:16">
      <c r="F24" s="16"/>
      <c r="G24" s="16"/>
      <c r="H24" s="16"/>
      <c r="I24" s="16"/>
      <c r="J24" s="16"/>
    </row>
    <row r="25" spans="1:16">
      <c r="F25" s="16"/>
      <c r="G25" s="16"/>
      <c r="H25" s="16"/>
      <c r="I25" s="16"/>
      <c r="J25" s="16"/>
    </row>
    <row r="26" spans="1:16">
      <c r="A26" t="s">
        <v>197</v>
      </c>
      <c r="B26" s="7">
        <f>C7+K23</f>
        <v>603.25700000000006</v>
      </c>
    </row>
  </sheetData>
  <sortState ref="F2:P12">
    <sortCondition ref="O2:O12"/>
    <sortCondition ref="L2:L12"/>
  </sortState>
  <hyperlinks>
    <hyperlink ref="B3" r:id="rId1"/>
    <hyperlink ref="B4" r:id="rId2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Little Driver BOM 1_7</vt:lpstr>
      <vt:lpstr>Wiring Kit 1_1</vt:lpstr>
      <vt:lpstr>PCB Costs</vt:lpstr>
      <vt:lpstr>Packageing</vt:lpstr>
      <vt:lpstr>Start Up Costs</vt:lpstr>
      <vt:lpstr>Price Data</vt:lpstr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West</dc:creator>
  <cp:lastModifiedBy>Adrian West</cp:lastModifiedBy>
  <cp:lastPrinted>2017-02-15T02:56:23Z</cp:lastPrinted>
  <dcterms:created xsi:type="dcterms:W3CDTF">2017-02-11T07:11:00Z</dcterms:created>
  <dcterms:modified xsi:type="dcterms:W3CDTF">2017-02-17T01:58:02Z</dcterms:modified>
</cp:coreProperties>
</file>